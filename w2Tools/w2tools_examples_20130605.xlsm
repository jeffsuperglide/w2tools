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 activeTab="5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83" r:id="rId11"/>
    <sheet name="__bathymetryexport.npt" sheetId="77" r:id="rId12"/>
  </sheets>
  <definedNames>
    <definedName name="solver_adj" localSheetId="11" hidden="1">__bathymetryexport.npt!#REF!</definedName>
    <definedName name="solver_cvg" localSheetId="11" hidden="1">0.0001</definedName>
    <definedName name="solver_drv" localSheetId="11" hidden="1">1</definedName>
    <definedName name="solver_est" localSheetId="11" hidden="1">1</definedName>
    <definedName name="solver_itr" localSheetId="11" hidden="1">100</definedName>
    <definedName name="solver_lhs1" localSheetId="11" hidden="1">__bathymetryexport.npt!#REF!</definedName>
    <definedName name="solver_lin" localSheetId="11" hidden="1">2</definedName>
    <definedName name="solver_neg" localSheetId="11" hidden="1">2</definedName>
    <definedName name="solver_num" localSheetId="11" hidden="1">1</definedName>
    <definedName name="solver_nwt" localSheetId="11" hidden="1">1</definedName>
    <definedName name="solver_opt" localSheetId="11" hidden="1">__bathymetryexport.npt!$BV$73</definedName>
    <definedName name="solver_pre" localSheetId="11" hidden="1">0.000001</definedName>
    <definedName name="solver_rel1" localSheetId="11" hidden="1">1</definedName>
    <definedName name="solver_rhs1" localSheetId="11" hidden="1">1.1</definedName>
    <definedName name="solver_scl" localSheetId="11" hidden="1">2</definedName>
    <definedName name="solver_sho" localSheetId="11" hidden="1">2</definedName>
    <definedName name="solver_tim" localSheetId="11" hidden="1">100</definedName>
    <definedName name="solver_tol" localSheetId="11" hidden="1">0.05</definedName>
    <definedName name="solver_typ" localSheetId="11" hidden="1">3</definedName>
    <definedName name="solver_val" localSheetId="11" hidden="1">0</definedName>
  </definedNames>
  <calcPr calcId="125725"/>
</workbook>
</file>

<file path=xl/calcChain.xml><?xml version="1.0" encoding="utf-8"?>
<calcChain xmlns="http://schemas.openxmlformats.org/spreadsheetml/2006/main">
  <c r="AQ2" i="77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R2"/>
  <c r="AU2"/>
  <c r="AT2" s="1"/>
  <c r="AS2" s="1"/>
  <c r="AV2"/>
  <c r="AY2"/>
  <c r="AX2" s="1"/>
  <c r="AW2" s="1"/>
  <c r="AZ2"/>
  <c r="BC2"/>
  <c r="BB2" s="1"/>
  <c r="BA2" s="1"/>
  <c r="BD2"/>
  <c r="BM2"/>
  <c r="BL2" s="1"/>
  <c r="BK2" s="1"/>
  <c r="BJ2" s="1"/>
  <c r="BI2" s="1"/>
  <c r="BH2" s="1"/>
  <c r="BG2" s="1"/>
  <c r="BF2" s="1"/>
  <c r="BE2" s="1"/>
  <c r="BN2"/>
  <c r="BS2"/>
  <c r="BR2" s="1"/>
  <c r="BQ2" s="1"/>
  <c r="BP2" s="1"/>
  <c r="BO2" s="1"/>
  <c r="BT2"/>
  <c r="BW2"/>
  <c r="BV2" s="1"/>
  <c r="BU2" s="1"/>
  <c r="BX2"/>
  <c r="CA2"/>
  <c r="BZ2" s="1"/>
  <c r="BY2" s="1"/>
  <c r="CB2"/>
  <c r="CE2"/>
  <c r="CD2" s="1"/>
  <c r="CC2" s="1"/>
  <c r="A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</calcChain>
</file>

<file path=xl/sharedStrings.xml><?xml version="1.0" encoding="utf-8"?>
<sst xmlns="http://schemas.openxmlformats.org/spreadsheetml/2006/main" count="1713" uniqueCount="745">
  <si>
    <t>JDAY</t>
  </si>
  <si>
    <t>VERTICAL PROFILE</t>
  </si>
  <si>
    <t>TEMP VPR</t>
  </si>
  <si>
    <t>DO VPR</t>
  </si>
  <si>
    <t>WSC</t>
  </si>
  <si>
    <t>CON VPR</t>
  </si>
  <si>
    <t>WIND SHELTERING</t>
  </si>
  <si>
    <t>TUH</t>
  </si>
  <si>
    <t>WIDTH &gt; 0</t>
  </si>
  <si>
    <t>DESCRIPTION</t>
  </si>
  <si>
    <t>WIDTH = 0</t>
  </si>
  <si>
    <t>RKM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</si>
  <si>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</si>
  <si>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</si>
  <si>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</si>
  <si>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</si>
  <si>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</si>
  <si>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</si>
  <si>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</si>
  <si>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</si>
  <si>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</si>
  <si>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</si>
  <si>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</si>
  <si>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</si>
  <si>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</si>
  <si>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</si>
  <si>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</si>
  <si>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</si>
  <si>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</si>
  <si>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</si>
  <si>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</si>
  <si>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</si>
  <si>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</si>
  <si>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</si>
  <si>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</si>
  <si>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</si>
  <si>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</si>
  <si>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</si>
  <si>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</si>
  <si>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</si>
  <si>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</si>
  <si>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</si>
  <si>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</si>
  <si>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</si>
  <si>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</si>
  <si>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</si>
  <si>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</si>
  <si>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</si>
  <si>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</si>
  <si>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</si>
  <si>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</si>
  <si>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</si>
  <si>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</si>
  <si>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</si>
  <si>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</si>
  <si>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</si>
  <si>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</si>
  <si>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</si>
  <si>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</si>
  <si>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</si>
  <si>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</si>
  <si>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</si>
  <si>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</si>
  <si>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</si>
  <si>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</si>
  <si>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</si>
  <si>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</si>
  <si>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</si>
  <si>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</si>
  <si>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</si>
  <si>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</si>
  <si>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</si>
  <si>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</si>
  <si>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</si>
  <si>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</si>
  <si>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</si>
  <si>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</si>
  <si>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</si>
  <si>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</si>
  <si>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</si>
  <si>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</si>
  <si>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</si>
  <si>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</si>
  <si>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</si>
  <si>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</si>
  <si>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</si>
  <si>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</si>
  <si>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</si>
  <si>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</si>
  <si>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</si>
  <si>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</si>
  <si>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</si>
  <si>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</si>
  <si>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</si>
  <si>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</si>
  <si>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</si>
  <si>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</si>
  <si>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</si>
  <si>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</si>
  <si>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</si>
  <si>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</si>
  <si>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</si>
  <si>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</si>
  <si>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</si>
  <si>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</si>
  <si>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</si>
  <si>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</si>
  <si>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</si>
  <si>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</si>
  <si>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</si>
  <si>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</si>
  <si>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</si>
  <si>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</si>
  <si>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</si>
  <si>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</si>
  <si>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</si>
  <si>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</si>
  <si>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</si>
  <si>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</si>
  <si>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</si>
  <si>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</si>
  <si>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</si>
  <si>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</si>
  <si>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</si>
  <si>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</si>
  <si>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</si>
  <si>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</si>
  <si>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</si>
  <si>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</si>
  <si>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</si>
  <si>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</si>
  <si>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</si>
  <si>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</si>
  <si>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</si>
  <si>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</si>
  <si>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</si>
  <si>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</si>
  <si>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</si>
  <si>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</si>
  <si>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</si>
  <si>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</si>
  <si>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</si>
  <si>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</si>
  <si>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</si>
  <si>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</si>
  <si>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</si>
  <si>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</si>
  <si>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</si>
  <si>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</si>
  <si>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</si>
  <si>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</si>
  <si>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</si>
  <si>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</si>
  <si>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</si>
  <si>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</si>
  <si>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</si>
  <si>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</si>
  <si>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</si>
  <si>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</si>
  <si>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</si>
  <si>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</si>
  <si>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</si>
  <si>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</si>
  <si>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</si>
  <si>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</si>
  <si>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</si>
  <si>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</si>
  <si>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</si>
  <si>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</si>
  <si>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</si>
  <si>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</si>
  <si>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</si>
  <si>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</si>
  <si>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</si>
  <si>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</si>
  <si>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</si>
  <si>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</si>
  <si>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</si>
  <si>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</si>
  <si>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</si>
  <si>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</si>
  <si>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</si>
  <si>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</si>
  <si>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</si>
  <si>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</si>
  <si>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</si>
  <si>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</si>
  <si>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</si>
  <si>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</si>
  <si>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</si>
  <si>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</si>
  <si>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</si>
  <si>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</si>
  <si>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</si>
  <si>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</si>
  <si>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</si>
  <si>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</si>
  <si>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</si>
  <si>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</si>
  <si>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</si>
  <si>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</si>
  <si>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</si>
  <si>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</si>
  <si>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</si>
  <si>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</si>
  <si>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</si>
  <si>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</si>
  <si>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</si>
  <si>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</si>
  <si>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</si>
  <si>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</si>
  <si>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</si>
  <si>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</si>
  <si>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</si>
  <si>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</si>
  <si>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</si>
  <si>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</si>
  <si>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</si>
  <si>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</si>
  <si>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</si>
  <si>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</si>
  <si>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</si>
  <si>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</si>
  <si>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</si>
  <si>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</si>
  <si>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</si>
  <si>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</si>
  <si>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</si>
  <si>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</si>
  <si>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</si>
  <si>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</si>
  <si>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</si>
  <si>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</si>
  <si>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</si>
  <si>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</si>
  <si>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</si>
  <si>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</si>
  <si>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</si>
  <si>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</si>
  <si>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</si>
  <si>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</si>
  <si>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</si>
  <si>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</si>
  <si>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</si>
  <si>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</si>
  <si>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</si>
  <si>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</si>
  <si>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</si>
  <si>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</si>
  <si>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</si>
  <si>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</si>
  <si>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</si>
  <si>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</si>
  <si>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</si>
  <si>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</si>
  <si>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</si>
  <si>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</si>
  <si>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</si>
  <si>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</si>
  <si>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</si>
  <si>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</si>
  <si>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</si>
  <si>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</si>
  <si>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</si>
  <si>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</si>
  <si>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</si>
  <si>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</si>
  <si>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</si>
  <si>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</si>
  <si>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</si>
  <si>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</si>
  <si>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</si>
  <si>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</si>
  <si>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</si>
  <si>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</si>
  <si>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</si>
  <si>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</si>
  <si>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</si>
  <si>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</si>
  <si>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</si>
  <si>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</si>
  <si>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</si>
  <si>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</si>
  <si>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</si>
  <si>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</si>
  <si>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</si>
  <si>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</si>
  <si>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</si>
  <si>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</si>
  <si>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</si>
  <si>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</si>
  <si>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</si>
  <si>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</si>
  <si>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</si>
  <si>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</si>
  <si>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</si>
  <si>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</si>
  <si>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</si>
  <si>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</si>
  <si>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</si>
  <si>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</si>
  <si>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</si>
  <si>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</si>
  <si>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</si>
  <si>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</si>
  <si>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</si>
  <si>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</si>
  <si>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</si>
  <si>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</si>
  <si>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</si>
  <si>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</si>
  <si>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</si>
  <si>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</si>
  <si>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</si>
  <si>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</si>
  <si>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</si>
  <si>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</si>
  <si>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</si>
  <si>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</si>
  <si>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</si>
  <si>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</si>
  <si>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</si>
  <si>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</si>
  <si>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</si>
  <si>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</si>
  <si>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</si>
  <si>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</si>
  <si>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</si>
  <si>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</si>
  <si>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</si>
  <si>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</si>
  <si>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</si>
  <si>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</si>
  <si>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</si>
  <si>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</si>
  <si>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</si>
  <si>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</si>
  <si>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</si>
  <si>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</si>
  <si>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</si>
  <si>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</si>
  <si>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</si>
  <si>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</si>
  <si>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</si>
  <si>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</si>
  <si>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</si>
  <si>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</si>
  <si>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</si>
  <si>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</si>
  <si>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</si>
  <si>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</si>
  <si>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</si>
  <si>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</si>
  <si>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</si>
  <si>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</si>
  <si>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</si>
  <si>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</si>
  <si>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</si>
  <si>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</si>
  <si>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</si>
  <si>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</si>
  <si>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</si>
  <si>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</si>
  <si>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</si>
  <si>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</si>
  <si>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</si>
  <si>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</si>
  <si>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</si>
  <si>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</si>
  <si>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</si>
  <si>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</si>
  <si>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</si>
  <si>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</si>
  <si>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</si>
  <si>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</si>
  <si>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</si>
  <si>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</si>
  <si>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</si>
  <si>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</si>
  <si>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</si>
  <si>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</si>
  <si>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</si>
  <si>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</si>
  <si>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</si>
  <si>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</si>
  <si>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</si>
  <si>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</si>
  <si>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</si>
  <si>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</si>
  <si>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</si>
  <si>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</si>
  <si>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</si>
  <si>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</si>
  <si>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</si>
  <si>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</si>
  <si>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</si>
  <si>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</si>
  <si>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</si>
  <si>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</si>
  <si>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</si>
  <si>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</si>
  <si>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</si>
  <si>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</si>
  <si>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</si>
  <si>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</si>
  <si>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</si>
  <si>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</si>
  <si>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</si>
  <si>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</si>
  <si>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</si>
  <si>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</si>
  <si>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</si>
  <si>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</si>
  <si>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</si>
  <si>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</si>
  <si>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</si>
  <si>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</si>
  <si>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</si>
  <si>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</si>
  <si>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</si>
  <si>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</si>
  <si>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</si>
  <si>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</si>
  <si>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</si>
  <si>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</si>
  <si>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</si>
  <si>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</si>
  <si>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</si>
  <si>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</si>
  <si>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</si>
  <si>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</si>
  <si>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</si>
  <si>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</si>
  <si>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</si>
  <si>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</si>
  <si>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</si>
  <si>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</si>
  <si>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</si>
  <si>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</si>
  <si>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</si>
  <si>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</si>
  <si>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</si>
  <si>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</si>
  <si>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</si>
  <si>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</si>
  <si>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</si>
  <si>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</si>
  <si>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</si>
  <si>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</si>
  <si>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</si>
  <si>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</si>
  <si>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</si>
  <si>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</si>
  <si>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</si>
  <si>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</si>
  <si>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</si>
  <si>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</si>
  <si>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</si>
  <si>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</si>
  <si>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</si>
  <si>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</si>
  <si>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</si>
  <si>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</si>
  <si>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</si>
  <si>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</si>
  <si>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</si>
  <si>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</si>
  <si>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</si>
  <si>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</si>
  <si>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</si>
  <si>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</si>
  <si>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</si>
  <si>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</si>
  <si>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</si>
  <si>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</si>
  <si>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</si>
  <si>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</si>
  <si>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</si>
  <si>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</si>
  <si>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</si>
  <si>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</si>
  <si>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</si>
  <si>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</si>
  <si>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</si>
  <si>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</si>
  <si>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</si>
  <si>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</si>
  <si>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</si>
  <si>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</si>
  <si>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</si>
  <si>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</si>
  <si>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</si>
  <si>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</si>
  <si>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</si>
  <si>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</si>
  <si>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</si>
  <si>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</si>
  <si>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</si>
  <si>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</si>
  <si>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</si>
  <si>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</si>
  <si>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</si>
  <si>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</si>
  <si>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</si>
  <si>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</si>
  <si>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</si>
  <si>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</si>
  <si>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</si>
  <si>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</si>
  <si>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</si>
  <si>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</si>
  <si>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</si>
  <si>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</si>
  <si>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</si>
  <si>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</si>
  <si>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</si>
  <si>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</si>
  <si>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</si>
  <si>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</si>
  <si>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</si>
  <si>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</si>
  <si>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</si>
  <si>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</si>
  <si>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</si>
  <si>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</si>
  <si>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</si>
  <si>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</si>
  <si>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</si>
  <si>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</si>
  <si>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</si>
  <si>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</si>
  <si>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</si>
  <si>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</si>
  <si>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</si>
  <si>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</si>
  <si>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</si>
  <si>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</si>
  <si>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</si>
  <si>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</si>
  <si>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</si>
  <si>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</si>
  <si>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</si>
  <si>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</si>
  <si>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</si>
  <si>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</si>
  <si>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</si>
  <si>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</si>
  <si>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</si>
  <si>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</si>
  <si>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</si>
  <si>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</si>
  <si>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</si>
  <si>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</si>
  <si>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</si>
  <si>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</si>
  <si>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</si>
  <si>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</si>
  <si>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</si>
  <si>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</si>
  <si>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</si>
  <si>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</si>
  <si>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</si>
  <si>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</si>
  <si>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</si>
  <si>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</si>
  <si>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</si>
  <si>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</si>
  <si>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</si>
  <si>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</si>
  <si>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</si>
  <si>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</si>
  <si>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</si>
  <si>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</si>
  <si>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</si>
  <si>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</si>
  <si>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</si>
  <si>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</si>
  <si>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</si>
  <si>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</si>
  <si>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Multiply Example</t>
  </si>
  <si>
    <t>Invert Selection Example</t>
  </si>
  <si>
    <t>QWD</t>
  </si>
  <si>
    <t>SAMPLE WITHDRAWAL OUTFLOW FILE</t>
  </si>
  <si>
    <t>= TOOL SELECTION AREA</t>
  </si>
  <si>
    <t>TEXT</t>
  </si>
  <si>
    <t>HEADER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</si>
  <si>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</si>
  <si>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</si>
  <si>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</si>
  <si>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</si>
  <si>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</si>
  <si>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</si>
  <si>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</si>
  <si>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</si>
  <si>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</si>
  <si>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</si>
  <si>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</si>
  <si>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</si>
  <si>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</si>
  <si>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</si>
  <si>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</si>
  <si>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</si>
  <si>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</si>
  <si>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</si>
  <si>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</si>
  <si>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</si>
  <si>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</si>
  <si>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</si>
  <si>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</si>
  <si>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</si>
  <si>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</si>
  <si>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</si>
  <si>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</si>
  <si>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</si>
  <si>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</si>
  <si>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</si>
  <si>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</si>
  <si>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</si>
  <si>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</si>
  <si>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</si>
  <si>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</si>
  <si>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</si>
  <si>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</si>
  <si>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</si>
  <si>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</si>
  <si>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</si>
  <si>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</si>
  <si>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</si>
  <si>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</si>
  <si>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</si>
  <si>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</si>
  <si>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</si>
  <si>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</si>
  <si>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</si>
  <si>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</si>
  <si>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</si>
  <si>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</si>
  <si>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</si>
  <si>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</si>
  <si>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</si>
  <si>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</si>
  <si>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</si>
  <si>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</si>
  <si>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</si>
  <si>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</si>
  <si>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</si>
  <si>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</si>
  <si>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</si>
  <si>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</si>
  <si>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</si>
  <si>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</si>
  <si>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</si>
  <si>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</si>
  <si>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</si>
  <si>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</si>
  <si>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</si>
  <si>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</si>
  <si>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</si>
  <si>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</si>
  <si>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</si>
  <si>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</si>
  <si>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</si>
  <si>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</si>
  <si>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</si>
  <si>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</si>
  <si>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</si>
  <si>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</si>
  <si>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</si>
  <si>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LAYER VALUE</t>
  </si>
  <si>
    <t>LABEL</t>
  </si>
  <si>
    <t>TDS</t>
  </si>
  <si>
    <t>DO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</si>
  <si>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</si>
  <si>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</si>
  <si>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</si>
  <si>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</si>
  <si>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</si>
  <si>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</si>
  <si>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</si>
  <si>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TEXT1</t>
  </si>
  <si>
    <t>CENTER HILL LAKE</t>
  </si>
  <si>
    <t>Interpolate (?X)</t>
  </si>
  <si>
    <t>Interpolate (X?)</t>
  </si>
  <si>
    <t>Multiply Example Results</t>
  </si>
  <si>
    <t>HARSHA LAKE 2004 INITIAL CONDITION AT JULIAN DAY 155.0</t>
  </si>
  <si>
    <t>26.5</t>
  </si>
  <si>
    <t>24.4</t>
  </si>
  <si>
    <t>23.5</t>
  </si>
  <si>
    <t>22.9</t>
  </si>
  <si>
    <t>22.6</t>
  </si>
  <si>
    <t>23.3</t>
  </si>
  <si>
    <t>23.1</t>
  </si>
  <si>
    <t>22.8</t>
  </si>
  <si>
    <t>22.5</t>
  </si>
  <si>
    <t>22.1</t>
  </si>
  <si>
    <t>22.2</t>
  </si>
  <si>
    <t>22</t>
  </si>
  <si>
    <t>21.3</t>
  </si>
  <si>
    <t>21</t>
  </si>
  <si>
    <t>20.9</t>
  </si>
  <si>
    <t>20.1</t>
  </si>
  <si>
    <t>19.7</t>
  </si>
  <si>
    <t>19.6</t>
  </si>
  <si>
    <t>21.7</t>
  </si>
  <si>
    <t>19.5</t>
  </si>
  <si>
    <t>18.5</t>
  </si>
  <si>
    <t>19.4</t>
  </si>
  <si>
    <t>18.1</t>
  </si>
  <si>
    <t>19.2</t>
  </si>
  <si>
    <t>17.6</t>
  </si>
  <si>
    <t>20.8</t>
  </si>
  <si>
    <t>18.8</t>
  </si>
  <si>
    <t>17.2</t>
  </si>
  <si>
    <t>20.7</t>
  </si>
  <si>
    <t>18.4</t>
  </si>
  <si>
    <t>16.7</t>
  </si>
  <si>
    <t>20.4</t>
  </si>
  <si>
    <t>17.8</t>
  </si>
  <si>
    <t>16.3</t>
  </si>
  <si>
    <t>15.5</t>
  </si>
  <si>
    <t>16.8</t>
  </si>
  <si>
    <t>15.3</t>
  </si>
  <si>
    <t>16.6</t>
  </si>
  <si>
    <t>15.1</t>
  </si>
  <si>
    <t>15</t>
  </si>
  <si>
    <t>16.2</t>
  </si>
  <si>
    <t>14.8</t>
  </si>
  <si>
    <t>14.3</t>
  </si>
  <si>
    <t>14.1</t>
  </si>
  <si>
    <t>13.8</t>
  </si>
  <si>
    <t>13.7</t>
  </si>
  <si>
    <t>13.4</t>
  </si>
  <si>
    <t>13.3</t>
  </si>
  <si>
    <t>13.1</t>
  </si>
  <si>
    <t>12.8</t>
  </si>
  <si>
    <t>12.5</t>
  </si>
  <si>
    <t>12.2</t>
  </si>
  <si>
    <t>11.7</t>
  </si>
  <si>
    <t>12.1</t>
  </si>
  <si>
    <t>11</t>
  </si>
  <si>
    <t>9.8</t>
  </si>
  <si>
    <t>9</t>
  </si>
  <si>
    <t>8.8</t>
  </si>
  <si>
    <t>8.7</t>
  </si>
  <si>
    <t>= NUMERICAL VALUE IS FALSE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</si>
</sst>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00"/>
    <numFmt numFmtId="166" formatCode="0.0000000"/>
    <numFmt numFmtId="167" formatCode="0.0%"/>
    <numFmt numFmtId="168" formatCode="0.0000"/>
  </numFmts>
  <fonts count="9">
    <font>
      <sz val="10"/>
      <name val="Arial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2"/>
      <color indexed="8"/>
      <name val="Courier New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6" fillId="0" borderId="0"/>
    <xf numFmtId="0" fontId="3" fillId="0" borderId="0"/>
    <xf numFmtId="0" fontId="5" fillId="0" borderId="0"/>
    <xf numFmtId="9" fontId="3" fillId="0" borderId="0" applyFont="0" applyFill="0" applyBorder="0" applyAlignment="0" applyProtection="0"/>
    <xf numFmtId="0" fontId="8" fillId="0" borderId="0"/>
    <xf numFmtId="0" fontId="3" fillId="0" borderId="0"/>
    <xf numFmtId="9" fontId="3" fillId="0" borderId="0" applyFont="0" applyFill="0" applyBorder="0" applyAlignment="0" applyProtection="0"/>
  </cellStyleXfs>
  <cellXfs count="122">
    <xf numFmtId="0" fontId="0" fillId="0" borderId="0" xfId="0"/>
    <xf numFmtId="166" fontId="2" fillId="0" borderId="0" xfId="0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4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5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166" fontId="2" fillId="2" borderId="0" xfId="0" applyNumberFormat="1" applyFont="1" applyFill="1" applyBorder="1" applyAlignment="1">
      <alignment horizontal="center" vertical="center"/>
    </xf>
    <xf numFmtId="166" fontId="2" fillId="2" borderId="2" xfId="0" applyNumberFormat="1" applyFont="1" applyFill="1" applyBorder="1" applyAlignment="1">
      <alignment horizontal="center" vertical="center"/>
    </xf>
    <xf numFmtId="1" fontId="2" fillId="2" borderId="4" xfId="0" applyNumberFormat="1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center"/>
    </xf>
    <xf numFmtId="0" fontId="2" fillId="2" borderId="9" xfId="0" applyNumberFormat="1" applyFont="1" applyFill="1" applyBorder="1" applyAlignment="1">
      <alignment horizontal="center"/>
    </xf>
    <xf numFmtId="0" fontId="2" fillId="0" borderId="0" xfId="0" quotePrefix="1" applyNumberFormat="1" applyFont="1" applyAlignment="1">
      <alignment horizontal="left"/>
    </xf>
    <xf numFmtId="0" fontId="2" fillId="0" borderId="0" xfId="0" applyNumberFormat="1" applyFont="1" applyAlignment="1">
      <alignment horizontal="left"/>
    </xf>
    <xf numFmtId="0" fontId="2" fillId="2" borderId="3" xfId="0" applyNumberFormat="1" applyFont="1" applyFill="1" applyBorder="1" applyAlignment="1">
      <alignment horizontal="center"/>
    </xf>
    <xf numFmtId="0" fontId="2" fillId="2" borderId="4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6" xfId="0" applyNumberFormat="1" applyFont="1" applyFill="1" applyBorder="1" applyAlignment="1">
      <alignment horizontal="center"/>
    </xf>
    <xf numFmtId="0" fontId="2" fillId="2" borderId="8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2" fillId="2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7" fillId="0" borderId="0" xfId="3" applyFont="1" applyFill="1" applyBorder="1" applyAlignment="1">
      <alignment horizontal="center" vertical="center"/>
    </xf>
    <xf numFmtId="164" fontId="2" fillId="0" borderId="0" xfId="3" applyNumberFormat="1" applyFont="1" applyFill="1" applyBorder="1" applyAlignment="1">
      <alignment horizontal="center" vertical="center"/>
    </xf>
    <xf numFmtId="0" fontId="2" fillId="3" borderId="3" xfId="3" applyFont="1" applyFill="1" applyBorder="1" applyAlignment="1">
      <alignment horizontal="left" vertical="center"/>
    </xf>
    <xf numFmtId="0" fontId="2" fillId="3" borderId="1" xfId="3" applyFont="1" applyFill="1" applyBorder="1" applyAlignment="1">
      <alignment horizontal="right" vertical="center"/>
    </xf>
    <xf numFmtId="0" fontId="2" fillId="3" borderId="4" xfId="3" applyFont="1" applyFill="1" applyBorder="1" applyAlignment="1">
      <alignment horizontal="right" vertical="center"/>
    </xf>
    <xf numFmtId="0" fontId="2" fillId="3" borderId="5" xfId="3" applyFont="1" applyFill="1" applyBorder="1" applyAlignment="1">
      <alignment horizontal="center" vertical="center"/>
    </xf>
    <xf numFmtId="0" fontId="2" fillId="3" borderId="0" xfId="3" applyFont="1" applyFill="1" applyBorder="1" applyAlignment="1">
      <alignment horizontal="right" vertical="center"/>
    </xf>
    <xf numFmtId="0" fontId="2" fillId="3" borderId="2" xfId="3" applyFont="1" applyFill="1" applyBorder="1" applyAlignment="1">
      <alignment horizontal="right" vertical="center"/>
    </xf>
    <xf numFmtId="1" fontId="2" fillId="3" borderId="0" xfId="3" applyNumberFormat="1" applyFont="1" applyFill="1" applyBorder="1" applyAlignment="1">
      <alignment horizontal="right" vertical="center"/>
    </xf>
    <xf numFmtId="1" fontId="2" fillId="3" borderId="2" xfId="3" applyNumberFormat="1" applyFont="1" applyFill="1" applyBorder="1" applyAlignment="1">
      <alignment horizontal="right" vertical="center"/>
    </xf>
    <xf numFmtId="165" fontId="2" fillId="3" borderId="0" xfId="3" applyNumberFormat="1" applyFont="1" applyFill="1" applyBorder="1" applyAlignment="1">
      <alignment horizontal="right" vertical="center"/>
    </xf>
    <xf numFmtId="165" fontId="2" fillId="3" borderId="2" xfId="3" applyNumberFormat="1" applyFont="1" applyFill="1" applyBorder="1" applyAlignment="1">
      <alignment horizontal="right" vertical="center"/>
    </xf>
    <xf numFmtId="168" fontId="2" fillId="3" borderId="0" xfId="3" applyNumberFormat="1" applyFont="1" applyFill="1" applyBorder="1" applyAlignment="1">
      <alignment horizontal="right" vertical="center"/>
    </xf>
    <xf numFmtId="168" fontId="2" fillId="3" borderId="2" xfId="3" applyNumberFormat="1" applyFont="1" applyFill="1" applyBorder="1" applyAlignment="1">
      <alignment horizontal="right" vertical="center"/>
    </xf>
    <xf numFmtId="2" fontId="2" fillId="3" borderId="5" xfId="3" applyNumberFormat="1" applyFont="1" applyFill="1" applyBorder="1" applyAlignment="1">
      <alignment horizontal="center" vertical="center"/>
    </xf>
    <xf numFmtId="164" fontId="2" fillId="3" borderId="0" xfId="3" applyNumberFormat="1" applyFont="1" applyFill="1" applyBorder="1" applyAlignment="1">
      <alignment horizontal="right" vertical="center"/>
    </xf>
    <xf numFmtId="164" fontId="2" fillId="3" borderId="2" xfId="3" applyNumberFormat="1" applyFont="1" applyFill="1" applyBorder="1" applyAlignment="1">
      <alignment horizontal="right" vertical="center"/>
    </xf>
    <xf numFmtId="2" fontId="2" fillId="3" borderId="6" xfId="3" applyNumberFormat="1" applyFont="1" applyFill="1" applyBorder="1" applyAlignment="1">
      <alignment horizontal="center" vertical="center"/>
    </xf>
    <xf numFmtId="164" fontId="2" fillId="3" borderId="7" xfId="3" applyNumberFormat="1" applyFont="1" applyFill="1" applyBorder="1" applyAlignment="1">
      <alignment horizontal="right" vertical="center"/>
    </xf>
    <xf numFmtId="164" fontId="2" fillId="3" borderId="8" xfId="3" applyNumberFormat="1" applyFont="1" applyFill="1" applyBorder="1" applyAlignment="1">
      <alignment horizontal="right" vertical="center"/>
    </xf>
    <xf numFmtId="0" fontId="2" fillId="0" borderId="0" xfId="0" applyFont="1" applyFill="1"/>
    <xf numFmtId="16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167" fontId="2" fillId="0" borderId="0" xfId="4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left" vertical="center"/>
    </xf>
    <xf numFmtId="2" fontId="2" fillId="4" borderId="2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left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2" fillId="4" borderId="5" xfId="0" applyNumberFormat="1" applyFont="1" applyFill="1" applyBorder="1" applyAlignment="1">
      <alignment horizontal="left" vertical="center"/>
    </xf>
    <xf numFmtId="2" fontId="2" fillId="4" borderId="5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/>
    </xf>
    <xf numFmtId="0" fontId="8" fillId="0" borderId="0" xfId="5" applyFont="1" applyAlignment="1">
      <alignment horizontal="center" vertical="center"/>
    </xf>
    <xf numFmtId="0" fontId="2" fillId="2" borderId="8" xfId="6" applyNumberFormat="1" applyFont="1" applyFill="1" applyBorder="1" applyAlignment="1">
      <alignment horizontal="center"/>
    </xf>
    <xf numFmtId="0" fontId="2" fillId="2" borderId="6" xfId="6" applyNumberFormat="1" applyFont="1" applyFill="1" applyBorder="1" applyAlignment="1">
      <alignment horizontal="center"/>
    </xf>
    <xf numFmtId="0" fontId="2" fillId="2" borderId="2" xfId="6" applyNumberFormat="1" applyFont="1" applyFill="1" applyBorder="1" applyAlignment="1">
      <alignment horizontal="center"/>
    </xf>
    <xf numFmtId="0" fontId="2" fillId="2" borderId="5" xfId="6" applyNumberFormat="1" applyFont="1" applyFill="1" applyBorder="1" applyAlignment="1">
      <alignment horizontal="center"/>
    </xf>
    <xf numFmtId="0" fontId="2" fillId="2" borderId="4" xfId="6" applyNumberFormat="1" applyFont="1" applyFill="1" applyBorder="1" applyAlignment="1">
      <alignment horizontal="center"/>
    </xf>
    <xf numFmtId="0" fontId="2" fillId="2" borderId="3" xfId="6" applyNumberFormat="1" applyFont="1" applyFill="1" applyBorder="1" applyAlignment="1">
      <alignment horizontal="center"/>
    </xf>
    <xf numFmtId="0" fontId="8" fillId="0" borderId="0" xfId="5" applyFont="1" applyAlignment="1">
      <alignment horizontal="left" vertical="center"/>
    </xf>
    <xf numFmtId="0" fontId="8" fillId="0" borderId="0" xfId="5" applyAlignment="1">
      <alignment horizontal="left" vertical="center"/>
    </xf>
    <xf numFmtId="0" fontId="2" fillId="0" borderId="0" xfId="6" quotePrefix="1" applyNumberFormat="1" applyFont="1" applyAlignment="1">
      <alignment horizontal="left"/>
    </xf>
    <xf numFmtId="0" fontId="2" fillId="2" borderId="9" xfId="6" applyNumberFormat="1" applyFont="1" applyFill="1" applyBorder="1" applyAlignment="1">
      <alignment horizontal="center"/>
    </xf>
    <xf numFmtId="0" fontId="2" fillId="4" borderId="9" xfId="0" applyNumberFormat="1" applyFont="1" applyFill="1" applyBorder="1" applyAlignment="1">
      <alignment horizontal="center"/>
    </xf>
    <xf numFmtId="0" fontId="8" fillId="0" borderId="0" xfId="5" applyFont="1" applyFill="1" applyAlignment="1">
      <alignment horizontal="center" vertical="center"/>
    </xf>
    <xf numFmtId="0" fontId="2" fillId="4" borderId="3" xfId="6" applyNumberFormat="1" applyFont="1" applyFill="1" applyBorder="1" applyAlignment="1">
      <alignment horizontal="center"/>
    </xf>
    <xf numFmtId="0" fontId="2" fillId="4" borderId="4" xfId="6" applyNumberFormat="1" applyFont="1" applyFill="1" applyBorder="1" applyAlignment="1">
      <alignment horizontal="center"/>
    </xf>
    <xf numFmtId="0" fontId="2" fillId="4" borderId="5" xfId="6" applyNumberFormat="1" applyFont="1" applyFill="1" applyBorder="1" applyAlignment="1">
      <alignment horizontal="center"/>
    </xf>
    <xf numFmtId="0" fontId="2" fillId="4" borderId="2" xfId="6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left"/>
    </xf>
    <xf numFmtId="0" fontId="2" fillId="4" borderId="3" xfId="0" applyNumberFormat="1" applyFont="1" applyFill="1" applyBorder="1" applyAlignment="1">
      <alignment horizontal="center"/>
    </xf>
    <xf numFmtId="0" fontId="2" fillId="4" borderId="4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5" borderId="2" xfId="6" applyNumberFormat="1" applyFont="1" applyFill="1" applyBorder="1" applyAlignment="1">
      <alignment horizontal="center"/>
    </xf>
    <xf numFmtId="0" fontId="2" fillId="5" borderId="5" xfId="6" applyNumberFormat="1" applyFont="1" applyFill="1" applyBorder="1" applyAlignment="1">
      <alignment horizontal="center"/>
    </xf>
    <xf numFmtId="0" fontId="8" fillId="5" borderId="9" xfId="5" applyFont="1" applyFill="1" applyBorder="1" applyAlignment="1">
      <alignment horizontal="left" vertical="center"/>
    </xf>
    <xf numFmtId="0" fontId="8" fillId="0" borderId="0" xfId="5" quotePrefix="1" applyFont="1" applyAlignment="1">
      <alignment horizontal="left" vertical="center"/>
    </xf>
  </cellXfs>
  <cellStyles count="8">
    <cellStyle name="Normal" xfId="0" builtinId="0"/>
    <cellStyle name="Normal 2" xfId="1"/>
    <cellStyle name="Normal 2 2" xfId="6"/>
    <cellStyle name="Normal 3" xfId="2"/>
    <cellStyle name="Normal 4" xfId="5"/>
    <cellStyle name="Normal__bth_007!" xfId="3"/>
    <cellStyle name="Percent" xfId="4" builtinId="5"/>
    <cellStyle name="Percent 2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10</xdr:col>
      <xdr:colOff>409575</xdr:colOff>
      <xdr:row>22</xdr:row>
      <xdr:rowOff>28575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0" y="2428875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10</xdr:col>
      <xdr:colOff>409575</xdr:colOff>
      <xdr:row>13</xdr:row>
      <xdr:rowOff>28575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8763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1</xdr:row>
      <xdr:rowOff>9525</xdr:rowOff>
    </xdr:from>
    <xdr:to>
      <xdr:col>11</xdr:col>
      <xdr:colOff>342900</xdr:colOff>
      <xdr:row>7</xdr:row>
      <xdr:rowOff>104775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14850" y="19050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5"/>
  <sheetViews>
    <sheetView workbookViewId="0"/>
  </sheetViews>
  <sheetFormatPr defaultRowHeight="13.5"/>
  <cols>
    <col min="1" max="16384" width="9.140625" style="33"/>
  </cols>
  <sheetData>
    <row r="1" spans="1:15" ht="14.25" thickBot="1">
      <c r="A1" s="104"/>
    </row>
    <row r="2" spans="1:15" ht="14.25" thickBot="1">
      <c r="B2" s="34"/>
      <c r="C2" s="35" t="s">
        <v>583</v>
      </c>
    </row>
    <row r="6" spans="1:15" ht="14.25" thickBot="1">
      <c r="B6" s="105" t="s">
        <v>579</v>
      </c>
      <c r="C6" s="104"/>
      <c r="N6" s="36" t="s">
        <v>683</v>
      </c>
    </row>
    <row r="7" spans="1:15">
      <c r="B7" s="106">
        <v>1</v>
      </c>
      <c r="C7" s="107">
        <v>8.5556128753946803E-2</v>
      </c>
      <c r="N7" s="37">
        <v>10</v>
      </c>
      <c r="O7" s="38">
        <v>0.85560000000000003</v>
      </c>
    </row>
    <row r="8" spans="1:15">
      <c r="B8" s="108">
        <v>2</v>
      </c>
      <c r="C8" s="109">
        <v>0.26029133231372192</v>
      </c>
      <c r="N8" s="39">
        <v>20</v>
      </c>
      <c r="O8" s="40">
        <v>2.6029</v>
      </c>
    </row>
    <row r="9" spans="1:15">
      <c r="B9" s="108">
        <v>3</v>
      </c>
      <c r="C9" s="109">
        <v>0.5536936244417312</v>
      </c>
      <c r="N9" s="39">
        <v>30</v>
      </c>
      <c r="O9" s="40">
        <v>5.5369000000000002</v>
      </c>
    </row>
    <row r="10" spans="1:15">
      <c r="B10" s="108">
        <v>4</v>
      </c>
      <c r="C10" s="109">
        <v>0.19551853919190787</v>
      </c>
      <c r="N10" s="39">
        <v>40</v>
      </c>
      <c r="O10" s="40">
        <v>1.9552</v>
      </c>
    </row>
    <row r="11" spans="1:15">
      <c r="B11" s="108">
        <v>5</v>
      </c>
      <c r="C11" s="109">
        <v>0.16220237230171186</v>
      </c>
      <c r="N11" s="39">
        <v>50</v>
      </c>
      <c r="O11" s="40">
        <v>1.6220000000000001</v>
      </c>
    </row>
    <row r="12" spans="1:15">
      <c r="B12" s="39">
        <v>6</v>
      </c>
      <c r="C12" s="40">
        <v>3.761690650868843E-3</v>
      </c>
      <c r="N12" s="39">
        <v>60</v>
      </c>
      <c r="O12" s="40">
        <v>3.7600000000000001E-2</v>
      </c>
    </row>
    <row r="13" spans="1:15">
      <c r="B13" s="39">
        <v>7</v>
      </c>
      <c r="C13" s="40">
        <v>0.40068255584318568</v>
      </c>
      <c r="N13" s="39">
        <v>70</v>
      </c>
      <c r="O13" s="40">
        <v>4.0068000000000001</v>
      </c>
    </row>
    <row r="14" spans="1:15">
      <c r="B14" s="39">
        <v>8</v>
      </c>
      <c r="C14" s="40">
        <v>0.87694162237374318</v>
      </c>
      <c r="N14" s="39">
        <v>80</v>
      </c>
      <c r="O14" s="40">
        <v>8.7693999999999992</v>
      </c>
    </row>
    <row r="15" spans="1:15">
      <c r="B15" s="39">
        <v>9</v>
      </c>
      <c r="C15" s="40">
        <v>0.69137370937807696</v>
      </c>
      <c r="N15" s="39">
        <v>90</v>
      </c>
      <c r="O15" s="40">
        <v>6.9137000000000004</v>
      </c>
    </row>
    <row r="16" spans="1:15">
      <c r="B16" s="39">
        <v>10</v>
      </c>
      <c r="C16" s="40">
        <v>0.14933453490876225</v>
      </c>
      <c r="N16" s="39">
        <v>100</v>
      </c>
      <c r="O16" s="40">
        <v>1.4933000000000001</v>
      </c>
    </row>
    <row r="17" spans="2:15" ht="14.25" thickBot="1">
      <c r="B17" s="41">
        <v>11</v>
      </c>
      <c r="C17" s="42">
        <v>0.53163312795331041</v>
      </c>
      <c r="N17" s="41">
        <v>110</v>
      </c>
      <c r="O17" s="42">
        <v>5.3163</v>
      </c>
    </row>
    <row r="23" spans="2:15">
      <c r="M23" s="104"/>
      <c r="N23" s="104"/>
    </row>
    <row r="24" spans="2:15">
      <c r="M24" s="104"/>
      <c r="N24" s="104"/>
    </row>
    <row r="25" spans="2:15">
      <c r="M25" s="104"/>
      <c r="N25" s="104"/>
    </row>
    <row r="26" spans="2:15">
      <c r="M26" s="104"/>
      <c r="N26" s="104"/>
    </row>
    <row r="27" spans="2:15">
      <c r="M27" s="104"/>
      <c r="N27" s="104"/>
    </row>
    <row r="28" spans="2:15">
      <c r="M28" s="104"/>
      <c r="N28" s="104"/>
    </row>
    <row r="29" spans="2:15">
      <c r="M29" s="104"/>
      <c r="N29" s="104"/>
    </row>
    <row r="30" spans="2:15">
      <c r="M30" s="104"/>
      <c r="N30" s="104"/>
    </row>
    <row r="31" spans="2:15">
      <c r="M31" s="104"/>
      <c r="N31" s="104"/>
    </row>
    <row r="32" spans="2:15">
      <c r="M32" s="104"/>
      <c r="N32" s="104"/>
    </row>
    <row r="33" spans="13:14">
      <c r="M33" s="104"/>
      <c r="N33" s="104"/>
    </row>
    <row r="34" spans="13:14">
      <c r="M34" s="104"/>
      <c r="N34" s="104"/>
    </row>
    <row r="35" spans="13:14">
      <c r="M35" s="104"/>
      <c r="N35" s="104"/>
    </row>
  </sheetData>
  <phoneticPr fontId="4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7"/>
  <sheetViews>
    <sheetView workbookViewId="0"/>
  </sheetViews>
  <sheetFormatPr defaultRowHeight="13.5"/>
  <cols>
    <col min="1" max="16384" width="9.140625" style="33"/>
  </cols>
  <sheetData>
    <row r="1" spans="2:15" ht="14.25" thickBot="1"/>
    <row r="2" spans="2:15" ht="14.25" thickBot="1">
      <c r="B2" s="34"/>
      <c r="C2" s="35" t="s">
        <v>583</v>
      </c>
    </row>
    <row r="6" spans="2:15" ht="14.25" thickBot="1">
      <c r="B6" s="36" t="s">
        <v>579</v>
      </c>
      <c r="N6" s="36" t="s">
        <v>683</v>
      </c>
    </row>
    <row r="7" spans="2:15">
      <c r="B7" s="37">
        <v>1</v>
      </c>
      <c r="C7" s="38">
        <v>8.5556128753946803E-2</v>
      </c>
      <c r="N7" s="37">
        <v>10</v>
      </c>
      <c r="O7" s="38">
        <v>0.85560000000000003</v>
      </c>
    </row>
    <row r="8" spans="2:15">
      <c r="B8" s="39">
        <v>2</v>
      </c>
      <c r="C8" s="40">
        <v>0.26029133231372192</v>
      </c>
      <c r="N8" s="39">
        <v>20</v>
      </c>
      <c r="O8" s="40">
        <v>2.6029</v>
      </c>
    </row>
    <row r="9" spans="2:15">
      <c r="B9" s="39">
        <v>3</v>
      </c>
      <c r="C9" s="40">
        <v>0.5536936244417312</v>
      </c>
      <c r="N9" s="39">
        <v>30</v>
      </c>
      <c r="O9" s="40">
        <v>5.5369000000000002</v>
      </c>
    </row>
    <row r="10" spans="2:15">
      <c r="B10" s="39">
        <v>4</v>
      </c>
      <c r="C10" s="40">
        <v>0.19551853919190787</v>
      </c>
      <c r="N10" s="39">
        <v>40</v>
      </c>
      <c r="O10" s="40">
        <v>1.9552</v>
      </c>
    </row>
    <row r="11" spans="2:15">
      <c r="B11" s="39">
        <v>5</v>
      </c>
      <c r="C11" s="40">
        <v>0.16220237230171186</v>
      </c>
      <c r="N11" s="39">
        <v>50</v>
      </c>
      <c r="O11" s="40">
        <v>1.6220000000000001</v>
      </c>
    </row>
    <row r="12" spans="2:15">
      <c r="B12" s="39">
        <v>6</v>
      </c>
      <c r="C12" s="40">
        <v>3.761690650868843E-3</v>
      </c>
      <c r="N12" s="39">
        <v>60</v>
      </c>
      <c r="O12" s="40">
        <v>3.7600000000000001E-2</v>
      </c>
    </row>
    <row r="13" spans="2:15">
      <c r="B13" s="39">
        <v>7</v>
      </c>
      <c r="C13" s="40">
        <v>0.40068255584318568</v>
      </c>
      <c r="N13" s="39">
        <v>70</v>
      </c>
      <c r="O13" s="40">
        <v>4.0068000000000001</v>
      </c>
    </row>
    <row r="14" spans="2:15">
      <c r="B14" s="39">
        <v>8</v>
      </c>
      <c r="C14" s="40">
        <v>0.87694162237374318</v>
      </c>
      <c r="N14" s="39">
        <v>80</v>
      </c>
      <c r="O14" s="40">
        <v>8.7693999999999992</v>
      </c>
    </row>
    <row r="15" spans="2:15">
      <c r="B15" s="39">
        <v>9</v>
      </c>
      <c r="C15" s="40">
        <v>0.69137370937807696</v>
      </c>
      <c r="N15" s="39">
        <v>90</v>
      </c>
      <c r="O15" s="40">
        <v>6.9137000000000004</v>
      </c>
    </row>
    <row r="16" spans="2:15">
      <c r="B16" s="39">
        <v>10</v>
      </c>
      <c r="C16" s="40">
        <v>0.14933453490876225</v>
      </c>
      <c r="N16" s="39">
        <v>100</v>
      </c>
      <c r="O16" s="40">
        <v>1.4933000000000001</v>
      </c>
    </row>
    <row r="17" spans="2:15" ht="14.25" thickBot="1">
      <c r="B17" s="41">
        <v>11</v>
      </c>
      <c r="C17" s="42">
        <v>0.53163312795331041</v>
      </c>
      <c r="N17" s="41">
        <v>110</v>
      </c>
      <c r="O17" s="42">
        <v>5.3163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36"/>
  <sheetViews>
    <sheetView workbookViewId="0"/>
  </sheetViews>
  <sheetFormatPr defaultRowHeight="13.5"/>
  <cols>
    <col min="1" max="16384" width="9.140625" style="33"/>
  </cols>
  <sheetData>
    <row r="1" spans="1:20" ht="14.25" thickBot="1"/>
    <row r="2" spans="1:20" ht="14.25" thickBot="1">
      <c r="B2" s="98"/>
      <c r="C2" s="35" t="s">
        <v>583</v>
      </c>
    </row>
    <row r="3" spans="1:20">
      <c r="A3" s="86"/>
      <c r="B3" s="35"/>
    </row>
    <row r="4" spans="1:20" ht="14.25" thickBot="1">
      <c r="B4" s="36" t="s">
        <v>580</v>
      </c>
    </row>
    <row r="5" spans="1:20">
      <c r="B5" s="37">
        <v>1</v>
      </c>
      <c r="C5" s="43">
        <v>2</v>
      </c>
      <c r="D5" s="43">
        <v>3</v>
      </c>
      <c r="E5" s="43">
        <v>4</v>
      </c>
      <c r="F5" s="43">
        <v>5</v>
      </c>
      <c r="G5" s="43">
        <v>6</v>
      </c>
      <c r="H5" s="43">
        <v>7</v>
      </c>
      <c r="I5" s="43">
        <v>8</v>
      </c>
      <c r="J5" s="43">
        <v>9</v>
      </c>
      <c r="K5" s="43">
        <v>10</v>
      </c>
      <c r="L5" s="43">
        <v>11</v>
      </c>
      <c r="M5" s="43">
        <v>12</v>
      </c>
      <c r="N5" s="43">
        <v>13</v>
      </c>
      <c r="O5" s="43">
        <v>14</v>
      </c>
      <c r="P5" s="43">
        <v>15</v>
      </c>
      <c r="Q5" s="43">
        <v>16</v>
      </c>
      <c r="R5" s="43">
        <v>17</v>
      </c>
      <c r="S5" s="43">
        <v>18</v>
      </c>
      <c r="T5" s="38">
        <v>19</v>
      </c>
    </row>
    <row r="6" spans="1:20">
      <c r="B6" s="39">
        <v>2</v>
      </c>
      <c r="C6" s="44" t="s">
        <v>21</v>
      </c>
      <c r="D6" s="44" t="s">
        <v>22</v>
      </c>
      <c r="E6" s="44" t="s">
        <v>23</v>
      </c>
      <c r="F6" s="44" t="s">
        <v>24</v>
      </c>
      <c r="G6" s="44" t="s">
        <v>25</v>
      </c>
      <c r="H6" s="44" t="s">
        <v>26</v>
      </c>
      <c r="I6" s="44" t="s">
        <v>27</v>
      </c>
      <c r="J6" s="44" t="s">
        <v>28</v>
      </c>
      <c r="K6" s="44" t="s">
        <v>29</v>
      </c>
      <c r="L6" s="44" t="s">
        <v>30</v>
      </c>
      <c r="M6" s="44" t="s">
        <v>31</v>
      </c>
      <c r="N6" s="44" t="s">
        <v>32</v>
      </c>
      <c r="O6" s="44" t="s">
        <v>33</v>
      </c>
      <c r="P6" s="44" t="s">
        <v>34</v>
      </c>
      <c r="Q6" s="44" t="s">
        <v>35</v>
      </c>
      <c r="R6" s="44" t="s">
        <v>36</v>
      </c>
      <c r="S6" s="44" t="s">
        <v>37</v>
      </c>
      <c r="T6" s="40" t="s">
        <v>38</v>
      </c>
    </row>
    <row r="7" spans="1:20">
      <c r="B7" s="39">
        <v>3</v>
      </c>
      <c r="C7" s="44" t="s">
        <v>39</v>
      </c>
      <c r="D7" s="44" t="s">
        <v>40</v>
      </c>
      <c r="E7" s="44" t="s">
        <v>41</v>
      </c>
      <c r="F7" s="44" t="s">
        <v>42</v>
      </c>
      <c r="G7" s="44" t="s">
        <v>43</v>
      </c>
      <c r="H7" s="44" t="s">
        <v>44</v>
      </c>
      <c r="I7" s="44" t="s">
        <v>45</v>
      </c>
      <c r="J7" s="44" t="s">
        <v>46</v>
      </c>
      <c r="K7" s="44" t="s">
        <v>47</v>
      </c>
      <c r="L7" s="44" t="s">
        <v>48</v>
      </c>
      <c r="M7" s="44" t="s">
        <v>49</v>
      </c>
      <c r="N7" s="44" t="s">
        <v>50</v>
      </c>
      <c r="O7" s="44" t="s">
        <v>51</v>
      </c>
      <c r="P7" s="44" t="s">
        <v>52</v>
      </c>
      <c r="Q7" s="44" t="s">
        <v>53</v>
      </c>
      <c r="R7" s="44" t="s">
        <v>54</v>
      </c>
      <c r="S7" s="44" t="s">
        <v>55</v>
      </c>
      <c r="T7" s="40" t="s">
        <v>56</v>
      </c>
    </row>
    <row r="8" spans="1:20">
      <c r="B8" s="39">
        <v>4</v>
      </c>
      <c r="C8" s="44" t="s">
        <v>57</v>
      </c>
      <c r="D8" s="44" t="s">
        <v>58</v>
      </c>
      <c r="E8" s="44" t="s">
        <v>59</v>
      </c>
      <c r="F8" s="44" t="s">
        <v>60</v>
      </c>
      <c r="G8" s="44" t="s">
        <v>61</v>
      </c>
      <c r="H8" s="44" t="s">
        <v>62</v>
      </c>
      <c r="I8" s="44" t="s">
        <v>63</v>
      </c>
      <c r="J8" s="44" t="s">
        <v>64</v>
      </c>
      <c r="K8" s="44" t="s">
        <v>65</v>
      </c>
      <c r="L8" s="44" t="s">
        <v>66</v>
      </c>
      <c r="M8" s="44" t="s">
        <v>67</v>
      </c>
      <c r="N8" s="44" t="s">
        <v>68</v>
      </c>
      <c r="O8" s="44" t="s">
        <v>69</v>
      </c>
      <c r="P8" s="44" t="s">
        <v>70</v>
      </c>
      <c r="Q8" s="44" t="s">
        <v>71</v>
      </c>
      <c r="R8" s="44" t="s">
        <v>72</v>
      </c>
      <c r="S8" s="44" t="s">
        <v>73</v>
      </c>
      <c r="T8" s="40" t="s">
        <v>74</v>
      </c>
    </row>
    <row r="9" spans="1:20">
      <c r="B9" s="39">
        <v>5</v>
      </c>
      <c r="C9" s="44" t="s">
        <v>75</v>
      </c>
      <c r="D9" s="44" t="s">
        <v>76</v>
      </c>
      <c r="E9" s="44" t="s">
        <v>77</v>
      </c>
      <c r="F9" s="44" t="s">
        <v>78</v>
      </c>
      <c r="G9" s="44" t="s">
        <v>79</v>
      </c>
      <c r="H9" s="44" t="s">
        <v>80</v>
      </c>
      <c r="I9" s="44" t="s">
        <v>81</v>
      </c>
      <c r="J9" s="44" t="s">
        <v>82</v>
      </c>
      <c r="K9" s="44" t="s">
        <v>83</v>
      </c>
      <c r="L9" s="44" t="s">
        <v>84</v>
      </c>
      <c r="M9" s="44" t="s">
        <v>85</v>
      </c>
      <c r="N9" s="44" t="s">
        <v>86</v>
      </c>
      <c r="O9" s="44" t="s">
        <v>87</v>
      </c>
      <c r="P9" s="44" t="s">
        <v>88</v>
      </c>
      <c r="Q9" s="44" t="s">
        <v>89</v>
      </c>
      <c r="R9" s="44" t="s">
        <v>90</v>
      </c>
      <c r="S9" s="44" t="s">
        <v>91</v>
      </c>
      <c r="T9" s="40" t="s">
        <v>92</v>
      </c>
    </row>
    <row r="10" spans="1:20">
      <c r="B10" s="39">
        <v>6</v>
      </c>
      <c r="C10" s="44" t="s">
        <v>93</v>
      </c>
      <c r="D10" s="44" t="s">
        <v>94</v>
      </c>
      <c r="E10" s="44" t="s">
        <v>95</v>
      </c>
      <c r="F10" s="44" t="s">
        <v>96</v>
      </c>
      <c r="G10" s="44" t="s">
        <v>97</v>
      </c>
      <c r="H10" s="44" t="s">
        <v>98</v>
      </c>
      <c r="I10" s="44" t="s">
        <v>99</v>
      </c>
      <c r="J10" s="44" t="s">
        <v>100</v>
      </c>
      <c r="K10" s="44" t="s">
        <v>101</v>
      </c>
      <c r="L10" s="44" t="s">
        <v>102</v>
      </c>
      <c r="M10" s="44" t="s">
        <v>103</v>
      </c>
      <c r="N10" s="44" t="s">
        <v>104</v>
      </c>
      <c r="O10" s="44" t="s">
        <v>105</v>
      </c>
      <c r="P10" s="44" t="s">
        <v>106</v>
      </c>
      <c r="Q10" s="44" t="s">
        <v>107</v>
      </c>
      <c r="R10" s="44" t="s">
        <v>108</v>
      </c>
      <c r="S10" s="44" t="s">
        <v>109</v>
      </c>
      <c r="T10" s="40" t="s">
        <v>110</v>
      </c>
    </row>
    <row r="11" spans="1:20">
      <c r="B11" s="39">
        <v>7</v>
      </c>
      <c r="C11" s="44" t="s">
        <v>111</v>
      </c>
      <c r="D11" s="44" t="s">
        <v>112</v>
      </c>
      <c r="E11" s="44" t="s">
        <v>113</v>
      </c>
      <c r="F11" s="44" t="s">
        <v>114</v>
      </c>
      <c r="G11" s="44" t="s">
        <v>115</v>
      </c>
      <c r="H11" s="44" t="s">
        <v>116</v>
      </c>
      <c r="I11" s="44" t="s">
        <v>117</v>
      </c>
      <c r="J11" s="44" t="s">
        <v>118</v>
      </c>
      <c r="K11" s="44" t="s">
        <v>119</v>
      </c>
      <c r="L11" s="44" t="s">
        <v>120</v>
      </c>
      <c r="M11" s="44" t="s">
        <v>121</v>
      </c>
      <c r="N11" s="44" t="s">
        <v>122</v>
      </c>
      <c r="O11" s="44" t="s">
        <v>123</v>
      </c>
      <c r="P11" s="44" t="s">
        <v>124</v>
      </c>
      <c r="Q11" s="44" t="s">
        <v>125</v>
      </c>
      <c r="R11" s="44" t="s">
        <v>126</v>
      </c>
      <c r="S11" s="44" t="s">
        <v>127</v>
      </c>
      <c r="T11" s="40" t="s">
        <v>128</v>
      </c>
    </row>
    <row r="12" spans="1:20">
      <c r="B12" s="39">
        <v>8</v>
      </c>
      <c r="C12" s="44" t="s">
        <v>129</v>
      </c>
      <c r="D12" s="44" t="s">
        <v>130</v>
      </c>
      <c r="E12" s="44" t="s">
        <v>131</v>
      </c>
      <c r="F12" s="44" t="s">
        <v>132</v>
      </c>
      <c r="G12" s="44" t="s">
        <v>133</v>
      </c>
      <c r="H12" s="44" t="s">
        <v>134</v>
      </c>
      <c r="I12" s="44" t="s">
        <v>135</v>
      </c>
      <c r="J12" s="44" t="s">
        <v>136</v>
      </c>
      <c r="K12" s="44" t="s">
        <v>137</v>
      </c>
      <c r="L12" s="44" t="s">
        <v>138</v>
      </c>
      <c r="M12" s="44" t="s">
        <v>139</v>
      </c>
      <c r="N12" s="44" t="s">
        <v>140</v>
      </c>
      <c r="O12" s="44" t="s">
        <v>141</v>
      </c>
      <c r="P12" s="44" t="s">
        <v>142</v>
      </c>
      <c r="Q12" s="44" t="s">
        <v>143</v>
      </c>
      <c r="R12" s="44" t="s">
        <v>144</v>
      </c>
      <c r="S12" s="44" t="s">
        <v>145</v>
      </c>
      <c r="T12" s="40" t="s">
        <v>146</v>
      </c>
    </row>
    <row r="13" spans="1:20">
      <c r="B13" s="39">
        <v>9</v>
      </c>
      <c r="C13" s="44" t="s">
        <v>147</v>
      </c>
      <c r="D13" s="44" t="s">
        <v>148</v>
      </c>
      <c r="E13" s="44" t="s">
        <v>149</v>
      </c>
      <c r="F13" s="44" t="s">
        <v>150</v>
      </c>
      <c r="G13" s="44" t="s">
        <v>151</v>
      </c>
      <c r="H13" s="44" t="s">
        <v>152</v>
      </c>
      <c r="I13" s="44" t="s">
        <v>153</v>
      </c>
      <c r="J13" s="44" t="s">
        <v>154</v>
      </c>
      <c r="K13" s="44" t="s">
        <v>155</v>
      </c>
      <c r="L13" s="44" t="s">
        <v>156</v>
      </c>
      <c r="M13" s="44" t="s">
        <v>157</v>
      </c>
      <c r="N13" s="44" t="s">
        <v>158</v>
      </c>
      <c r="O13" s="44" t="s">
        <v>159</v>
      </c>
      <c r="P13" s="44" t="s">
        <v>160</v>
      </c>
      <c r="Q13" s="44" t="s">
        <v>161</v>
      </c>
      <c r="R13" s="44" t="s">
        <v>162</v>
      </c>
      <c r="S13" s="44" t="s">
        <v>163</v>
      </c>
      <c r="T13" s="40" t="s">
        <v>164</v>
      </c>
    </row>
    <row r="14" spans="1:20">
      <c r="B14" s="39">
        <v>10</v>
      </c>
      <c r="C14" s="44" t="s">
        <v>165</v>
      </c>
      <c r="D14" s="44" t="s">
        <v>166</v>
      </c>
      <c r="E14" s="44" t="s">
        <v>167</v>
      </c>
      <c r="F14" s="44" t="s">
        <v>168</v>
      </c>
      <c r="G14" s="44" t="s">
        <v>169</v>
      </c>
      <c r="H14" s="44" t="s">
        <v>170</v>
      </c>
      <c r="I14" s="44" t="s">
        <v>171</v>
      </c>
      <c r="J14" s="44" t="s">
        <v>172</v>
      </c>
      <c r="K14" s="44" t="s">
        <v>173</v>
      </c>
      <c r="L14" s="44" t="s">
        <v>174</v>
      </c>
      <c r="M14" s="44" t="s">
        <v>175</v>
      </c>
      <c r="N14" s="44" t="s">
        <v>176</v>
      </c>
      <c r="O14" s="44" t="s">
        <v>177</v>
      </c>
      <c r="P14" s="44" t="s">
        <v>178</v>
      </c>
      <c r="Q14" s="44" t="s">
        <v>179</v>
      </c>
      <c r="R14" s="44" t="s">
        <v>180</v>
      </c>
      <c r="S14" s="44" t="s">
        <v>181</v>
      </c>
      <c r="T14" s="40" t="s">
        <v>182</v>
      </c>
    </row>
    <row r="15" spans="1:20">
      <c r="B15" s="39">
        <v>11</v>
      </c>
      <c r="C15" s="44" t="s">
        <v>183</v>
      </c>
      <c r="D15" s="44" t="s">
        <v>184</v>
      </c>
      <c r="E15" s="44" t="s">
        <v>185</v>
      </c>
      <c r="F15" s="44" t="s">
        <v>186</v>
      </c>
      <c r="G15" s="44" t="s">
        <v>187</v>
      </c>
      <c r="H15" s="44" t="s">
        <v>188</v>
      </c>
      <c r="I15" s="44" t="s">
        <v>189</v>
      </c>
      <c r="J15" s="44" t="s">
        <v>190</v>
      </c>
      <c r="K15" s="44" t="s">
        <v>191</v>
      </c>
      <c r="L15" s="44" t="s">
        <v>192</v>
      </c>
      <c r="M15" s="44" t="s">
        <v>193</v>
      </c>
      <c r="N15" s="44" t="s">
        <v>194</v>
      </c>
      <c r="O15" s="44" t="s">
        <v>195</v>
      </c>
      <c r="P15" s="44" t="s">
        <v>196</v>
      </c>
      <c r="Q15" s="44" t="s">
        <v>197</v>
      </c>
      <c r="R15" s="44" t="s">
        <v>198</v>
      </c>
      <c r="S15" s="44" t="s">
        <v>199</v>
      </c>
      <c r="T15" s="40" t="s">
        <v>200</v>
      </c>
    </row>
    <row r="16" spans="1:20">
      <c r="B16" s="39">
        <v>12</v>
      </c>
      <c r="C16" s="44" t="s">
        <v>201</v>
      </c>
      <c r="D16" s="44" t="s">
        <v>202</v>
      </c>
      <c r="E16" s="44" t="s">
        <v>203</v>
      </c>
      <c r="F16" s="44" t="s">
        <v>204</v>
      </c>
      <c r="G16" s="44" t="s">
        <v>205</v>
      </c>
      <c r="H16" s="44" t="s">
        <v>206</v>
      </c>
      <c r="I16" s="44" t="s">
        <v>207</v>
      </c>
      <c r="J16" s="44" t="s">
        <v>208</v>
      </c>
      <c r="K16" s="44" t="s">
        <v>209</v>
      </c>
      <c r="L16" s="44" t="s">
        <v>210</v>
      </c>
      <c r="M16" s="44" t="s">
        <v>211</v>
      </c>
      <c r="N16" s="44" t="s">
        <v>212</v>
      </c>
      <c r="O16" s="44" t="s">
        <v>213</v>
      </c>
      <c r="P16" s="44" t="s">
        <v>214</v>
      </c>
      <c r="Q16" s="44" t="s">
        <v>215</v>
      </c>
      <c r="R16" s="44" t="s">
        <v>216</v>
      </c>
      <c r="S16" s="44" t="s">
        <v>217</v>
      </c>
      <c r="T16" s="40" t="s">
        <v>218</v>
      </c>
    </row>
    <row r="17" spans="2:20">
      <c r="B17" s="39">
        <v>13</v>
      </c>
      <c r="C17" s="44" t="s">
        <v>219</v>
      </c>
      <c r="D17" s="44" t="s">
        <v>220</v>
      </c>
      <c r="E17" s="44" t="s">
        <v>221</v>
      </c>
      <c r="F17" s="44" t="s">
        <v>222</v>
      </c>
      <c r="G17" s="44" t="s">
        <v>223</v>
      </c>
      <c r="H17" s="44" t="s">
        <v>224</v>
      </c>
      <c r="I17" s="44" t="s">
        <v>225</v>
      </c>
      <c r="J17" s="44" t="s">
        <v>226</v>
      </c>
      <c r="K17" s="44" t="s">
        <v>227</v>
      </c>
      <c r="L17" s="44" t="s">
        <v>228</v>
      </c>
      <c r="M17" s="44" t="s">
        <v>229</v>
      </c>
      <c r="N17" s="44" t="s">
        <v>230</v>
      </c>
      <c r="O17" s="44" t="s">
        <v>231</v>
      </c>
      <c r="P17" s="44" t="s">
        <v>232</v>
      </c>
      <c r="Q17" s="44" t="s">
        <v>233</v>
      </c>
      <c r="R17" s="44" t="s">
        <v>234</v>
      </c>
      <c r="S17" s="44" t="s">
        <v>235</v>
      </c>
      <c r="T17" s="40" t="s">
        <v>236</v>
      </c>
    </row>
    <row r="18" spans="2:20">
      <c r="B18" s="39">
        <v>14</v>
      </c>
      <c r="C18" s="44" t="s">
        <v>237</v>
      </c>
      <c r="D18" s="44" t="s">
        <v>238</v>
      </c>
      <c r="E18" s="44" t="s">
        <v>239</v>
      </c>
      <c r="F18" s="44" t="s">
        <v>240</v>
      </c>
      <c r="G18" s="44" t="s">
        <v>241</v>
      </c>
      <c r="H18" s="44" t="s">
        <v>242</v>
      </c>
      <c r="I18" s="44" t="s">
        <v>243</v>
      </c>
      <c r="J18" s="44" t="s">
        <v>244</v>
      </c>
      <c r="K18" s="44" t="s">
        <v>245</v>
      </c>
      <c r="L18" s="44" t="s">
        <v>246</v>
      </c>
      <c r="M18" s="44" t="s">
        <v>247</v>
      </c>
      <c r="N18" s="44" t="s">
        <v>248</v>
      </c>
      <c r="O18" s="44" t="s">
        <v>249</v>
      </c>
      <c r="P18" s="44" t="s">
        <v>250</v>
      </c>
      <c r="Q18" s="44" t="s">
        <v>251</v>
      </c>
      <c r="R18" s="44" t="s">
        <v>252</v>
      </c>
      <c r="S18" s="44" t="s">
        <v>253</v>
      </c>
      <c r="T18" s="40" t="s">
        <v>254</v>
      </c>
    </row>
    <row r="19" spans="2:20">
      <c r="B19" s="39">
        <v>15</v>
      </c>
      <c r="C19" s="44" t="s">
        <v>255</v>
      </c>
      <c r="D19" s="44" t="s">
        <v>256</v>
      </c>
      <c r="E19" s="44" t="s">
        <v>257</v>
      </c>
      <c r="F19" s="44" t="s">
        <v>258</v>
      </c>
      <c r="G19" s="44" t="s">
        <v>259</v>
      </c>
      <c r="H19" s="44" t="s">
        <v>260</v>
      </c>
      <c r="I19" s="44" t="s">
        <v>261</v>
      </c>
      <c r="J19" s="44" t="s">
        <v>262</v>
      </c>
      <c r="K19" s="44" t="s">
        <v>263</v>
      </c>
      <c r="L19" s="44" t="s">
        <v>264</v>
      </c>
      <c r="M19" s="44" t="s">
        <v>265</v>
      </c>
      <c r="N19" s="44" t="s">
        <v>266</v>
      </c>
      <c r="O19" s="44" t="s">
        <v>267</v>
      </c>
      <c r="P19" s="44" t="s">
        <v>268</v>
      </c>
      <c r="Q19" s="44" t="s">
        <v>269</v>
      </c>
      <c r="R19" s="44" t="s">
        <v>270</v>
      </c>
      <c r="S19" s="44" t="s">
        <v>271</v>
      </c>
      <c r="T19" s="40" t="s">
        <v>272</v>
      </c>
    </row>
    <row r="20" spans="2:20">
      <c r="B20" s="39">
        <v>16</v>
      </c>
      <c r="C20" s="44" t="s">
        <v>273</v>
      </c>
      <c r="D20" s="44" t="s">
        <v>274</v>
      </c>
      <c r="E20" s="44" t="s">
        <v>275</v>
      </c>
      <c r="F20" s="44" t="s">
        <v>276</v>
      </c>
      <c r="G20" s="44" t="s">
        <v>277</v>
      </c>
      <c r="H20" s="44" t="s">
        <v>278</v>
      </c>
      <c r="I20" s="44" t="s">
        <v>279</v>
      </c>
      <c r="J20" s="44" t="s">
        <v>280</v>
      </c>
      <c r="K20" s="44" t="s">
        <v>281</v>
      </c>
      <c r="L20" s="44" t="s">
        <v>282</v>
      </c>
      <c r="M20" s="44" t="s">
        <v>283</v>
      </c>
      <c r="N20" s="44" t="s">
        <v>284</v>
      </c>
      <c r="O20" s="44" t="s">
        <v>285</v>
      </c>
      <c r="P20" s="44" t="s">
        <v>286</v>
      </c>
      <c r="Q20" s="44" t="s">
        <v>287</v>
      </c>
      <c r="R20" s="44" t="s">
        <v>288</v>
      </c>
      <c r="S20" s="44" t="s">
        <v>289</v>
      </c>
      <c r="T20" s="40" t="s">
        <v>290</v>
      </c>
    </row>
    <row r="21" spans="2:20">
      <c r="B21" s="39">
        <v>17</v>
      </c>
      <c r="C21" s="44" t="s">
        <v>291</v>
      </c>
      <c r="D21" s="44" t="s">
        <v>292</v>
      </c>
      <c r="E21" s="44" t="s">
        <v>293</v>
      </c>
      <c r="F21" s="44" t="s">
        <v>294</v>
      </c>
      <c r="G21" s="44" t="s">
        <v>295</v>
      </c>
      <c r="H21" s="44" t="s">
        <v>296</v>
      </c>
      <c r="I21" s="44" t="s">
        <v>297</v>
      </c>
      <c r="J21" s="44" t="s">
        <v>298</v>
      </c>
      <c r="K21" s="44" t="s">
        <v>299</v>
      </c>
      <c r="L21" s="44" t="s">
        <v>300</v>
      </c>
      <c r="M21" s="44" t="s">
        <v>301</v>
      </c>
      <c r="N21" s="44" t="s">
        <v>302</v>
      </c>
      <c r="O21" s="44" t="s">
        <v>303</v>
      </c>
      <c r="P21" s="44" t="s">
        <v>304</v>
      </c>
      <c r="Q21" s="44" t="s">
        <v>305</v>
      </c>
      <c r="R21" s="44" t="s">
        <v>306</v>
      </c>
      <c r="S21" s="44" t="s">
        <v>307</v>
      </c>
      <c r="T21" s="40" t="s">
        <v>308</v>
      </c>
    </row>
    <row r="22" spans="2:20">
      <c r="B22" s="39">
        <v>18</v>
      </c>
      <c r="C22" s="44" t="s">
        <v>309</v>
      </c>
      <c r="D22" s="44" t="s">
        <v>310</v>
      </c>
      <c r="E22" s="44" t="s">
        <v>311</v>
      </c>
      <c r="F22" s="44" t="s">
        <v>312</v>
      </c>
      <c r="G22" s="44" t="s">
        <v>313</v>
      </c>
      <c r="H22" s="44" t="s">
        <v>314</v>
      </c>
      <c r="I22" s="44" t="s">
        <v>315</v>
      </c>
      <c r="J22" s="44" t="s">
        <v>316</v>
      </c>
      <c r="K22" s="44" t="s">
        <v>317</v>
      </c>
      <c r="L22" s="44" t="s">
        <v>318</v>
      </c>
      <c r="M22" s="44" t="s">
        <v>319</v>
      </c>
      <c r="N22" s="44" t="s">
        <v>320</v>
      </c>
      <c r="O22" s="44" t="s">
        <v>321</v>
      </c>
      <c r="P22" s="44" t="s">
        <v>322</v>
      </c>
      <c r="Q22" s="44" t="s">
        <v>323</v>
      </c>
      <c r="R22" s="44" t="s">
        <v>324</v>
      </c>
      <c r="S22" s="44" t="s">
        <v>325</v>
      </c>
      <c r="T22" s="40" t="s">
        <v>326</v>
      </c>
    </row>
    <row r="23" spans="2:20">
      <c r="B23" s="39">
        <v>19</v>
      </c>
      <c r="C23" s="44" t="s">
        <v>327</v>
      </c>
      <c r="D23" s="44" t="s">
        <v>328</v>
      </c>
      <c r="E23" s="44" t="s">
        <v>329</v>
      </c>
      <c r="F23" s="44" t="s">
        <v>330</v>
      </c>
      <c r="G23" s="44" t="s">
        <v>331</v>
      </c>
      <c r="H23" s="44" t="s">
        <v>332</v>
      </c>
      <c r="I23" s="44" t="s">
        <v>333</v>
      </c>
      <c r="J23" s="44" t="s">
        <v>334</v>
      </c>
      <c r="K23" s="44" t="s">
        <v>335</v>
      </c>
      <c r="L23" s="44" t="s">
        <v>336</v>
      </c>
      <c r="M23" s="44" t="s">
        <v>337</v>
      </c>
      <c r="N23" s="44" t="s">
        <v>338</v>
      </c>
      <c r="O23" s="44" t="s">
        <v>339</v>
      </c>
      <c r="P23" s="44" t="s">
        <v>340</v>
      </c>
      <c r="Q23" s="44" t="s">
        <v>341</v>
      </c>
      <c r="R23" s="44" t="s">
        <v>342</v>
      </c>
      <c r="S23" s="44" t="s">
        <v>343</v>
      </c>
      <c r="T23" s="40" t="s">
        <v>344</v>
      </c>
    </row>
    <row r="24" spans="2:20">
      <c r="B24" s="39">
        <v>20</v>
      </c>
      <c r="C24" s="44" t="s">
        <v>345</v>
      </c>
      <c r="D24" s="44" t="s">
        <v>346</v>
      </c>
      <c r="E24" s="44" t="s">
        <v>347</v>
      </c>
      <c r="F24" s="44" t="s">
        <v>348</v>
      </c>
      <c r="G24" s="44" t="s">
        <v>349</v>
      </c>
      <c r="H24" s="44" t="s">
        <v>350</v>
      </c>
      <c r="I24" s="44" t="s">
        <v>351</v>
      </c>
      <c r="J24" s="44" t="s">
        <v>352</v>
      </c>
      <c r="K24" s="44" t="s">
        <v>353</v>
      </c>
      <c r="L24" s="44" t="s">
        <v>354</v>
      </c>
      <c r="M24" s="44" t="s">
        <v>355</v>
      </c>
      <c r="N24" s="44" t="s">
        <v>356</v>
      </c>
      <c r="O24" s="44" t="s">
        <v>357</v>
      </c>
      <c r="P24" s="44" t="s">
        <v>358</v>
      </c>
      <c r="Q24" s="44" t="s">
        <v>359</v>
      </c>
      <c r="R24" s="44" t="s">
        <v>360</v>
      </c>
      <c r="S24" s="44" t="s">
        <v>361</v>
      </c>
      <c r="T24" s="40" t="s">
        <v>362</v>
      </c>
    </row>
    <row r="25" spans="2:20">
      <c r="B25" s="39">
        <v>21</v>
      </c>
      <c r="C25" s="44" t="s">
        <v>363</v>
      </c>
      <c r="D25" s="44" t="s">
        <v>364</v>
      </c>
      <c r="E25" s="44" t="s">
        <v>365</v>
      </c>
      <c r="F25" s="44" t="s">
        <v>366</v>
      </c>
      <c r="G25" s="44" t="s">
        <v>367</v>
      </c>
      <c r="H25" s="44" t="s">
        <v>368</v>
      </c>
      <c r="I25" s="44" t="s">
        <v>369</v>
      </c>
      <c r="J25" s="44" t="s">
        <v>370</v>
      </c>
      <c r="K25" s="44" t="s">
        <v>371</v>
      </c>
      <c r="L25" s="44" t="s">
        <v>372</v>
      </c>
      <c r="M25" s="44" t="s">
        <v>373</v>
      </c>
      <c r="N25" s="44" t="s">
        <v>374</v>
      </c>
      <c r="O25" s="44" t="s">
        <v>375</v>
      </c>
      <c r="P25" s="44" t="s">
        <v>376</v>
      </c>
      <c r="Q25" s="44" t="s">
        <v>377</v>
      </c>
      <c r="R25" s="44" t="s">
        <v>378</v>
      </c>
      <c r="S25" s="44" t="s">
        <v>379</v>
      </c>
      <c r="T25" s="40" t="s">
        <v>380</v>
      </c>
    </row>
    <row r="26" spans="2:20">
      <c r="B26" s="39">
        <v>22</v>
      </c>
      <c r="C26" s="44" t="s">
        <v>381</v>
      </c>
      <c r="D26" s="44" t="s">
        <v>382</v>
      </c>
      <c r="E26" s="44" t="s">
        <v>383</v>
      </c>
      <c r="F26" s="44" t="s">
        <v>384</v>
      </c>
      <c r="G26" s="44" t="s">
        <v>385</v>
      </c>
      <c r="H26" s="44" t="s">
        <v>386</v>
      </c>
      <c r="I26" s="44" t="s">
        <v>387</v>
      </c>
      <c r="J26" s="44" t="s">
        <v>388</v>
      </c>
      <c r="K26" s="44" t="s">
        <v>389</v>
      </c>
      <c r="L26" s="44" t="s">
        <v>390</v>
      </c>
      <c r="M26" s="44" t="s">
        <v>391</v>
      </c>
      <c r="N26" s="44" t="s">
        <v>392</v>
      </c>
      <c r="O26" s="44" t="s">
        <v>393</v>
      </c>
      <c r="P26" s="44" t="s">
        <v>394</v>
      </c>
      <c r="Q26" s="44" t="s">
        <v>395</v>
      </c>
      <c r="R26" s="44" t="s">
        <v>396</v>
      </c>
      <c r="S26" s="44" t="s">
        <v>397</v>
      </c>
      <c r="T26" s="40" t="s">
        <v>398</v>
      </c>
    </row>
    <row r="27" spans="2:20">
      <c r="B27" s="39">
        <v>23</v>
      </c>
      <c r="C27" s="44" t="s">
        <v>399</v>
      </c>
      <c r="D27" s="44" t="s">
        <v>400</v>
      </c>
      <c r="E27" s="44" t="s">
        <v>401</v>
      </c>
      <c r="F27" s="44" t="s">
        <v>402</v>
      </c>
      <c r="G27" s="44" t="s">
        <v>403</v>
      </c>
      <c r="H27" s="44" t="s">
        <v>404</v>
      </c>
      <c r="I27" s="44" t="s">
        <v>405</v>
      </c>
      <c r="J27" s="44" t="s">
        <v>406</v>
      </c>
      <c r="K27" s="44" t="s">
        <v>407</v>
      </c>
      <c r="L27" s="44" t="s">
        <v>408</v>
      </c>
      <c r="M27" s="44" t="s">
        <v>409</v>
      </c>
      <c r="N27" s="44" t="s">
        <v>410</v>
      </c>
      <c r="O27" s="44" t="s">
        <v>411</v>
      </c>
      <c r="P27" s="44" t="s">
        <v>412</v>
      </c>
      <c r="Q27" s="44" t="s">
        <v>413</v>
      </c>
      <c r="R27" s="44" t="s">
        <v>414</v>
      </c>
      <c r="S27" s="44" t="s">
        <v>415</v>
      </c>
      <c r="T27" s="40" t="s">
        <v>416</v>
      </c>
    </row>
    <row r="28" spans="2:20">
      <c r="B28" s="39">
        <v>24</v>
      </c>
      <c r="C28" s="44" t="s">
        <v>417</v>
      </c>
      <c r="D28" s="44" t="s">
        <v>418</v>
      </c>
      <c r="E28" s="44" t="s">
        <v>419</v>
      </c>
      <c r="F28" s="44" t="s">
        <v>420</v>
      </c>
      <c r="G28" s="44" t="s">
        <v>421</v>
      </c>
      <c r="H28" s="44" t="s">
        <v>422</v>
      </c>
      <c r="I28" s="44" t="s">
        <v>423</v>
      </c>
      <c r="J28" s="44" t="s">
        <v>424</v>
      </c>
      <c r="K28" s="44" t="s">
        <v>425</v>
      </c>
      <c r="L28" s="44" t="s">
        <v>426</v>
      </c>
      <c r="M28" s="44" t="s">
        <v>427</v>
      </c>
      <c r="N28" s="44" t="s">
        <v>428</v>
      </c>
      <c r="O28" s="44" t="s">
        <v>429</v>
      </c>
      <c r="P28" s="44" t="s">
        <v>430</v>
      </c>
      <c r="Q28" s="44" t="s">
        <v>431</v>
      </c>
      <c r="R28" s="44" t="s">
        <v>432</v>
      </c>
      <c r="S28" s="44" t="s">
        <v>433</v>
      </c>
      <c r="T28" s="40" t="s">
        <v>434</v>
      </c>
    </row>
    <row r="29" spans="2:20">
      <c r="B29" s="39">
        <v>25</v>
      </c>
      <c r="C29" s="44" t="s">
        <v>435</v>
      </c>
      <c r="D29" s="44" t="s">
        <v>436</v>
      </c>
      <c r="E29" s="44" t="s">
        <v>437</v>
      </c>
      <c r="F29" s="44" t="s">
        <v>438</v>
      </c>
      <c r="G29" s="44" t="s">
        <v>439</v>
      </c>
      <c r="H29" s="44" t="s">
        <v>440</v>
      </c>
      <c r="I29" s="44" t="s">
        <v>441</v>
      </c>
      <c r="J29" s="44" t="s">
        <v>442</v>
      </c>
      <c r="K29" s="44" t="s">
        <v>443</v>
      </c>
      <c r="L29" s="44" t="s">
        <v>444</v>
      </c>
      <c r="M29" s="44" t="s">
        <v>445</v>
      </c>
      <c r="N29" s="44" t="s">
        <v>446</v>
      </c>
      <c r="O29" s="44" t="s">
        <v>447</v>
      </c>
      <c r="P29" s="44" t="s">
        <v>448</v>
      </c>
      <c r="Q29" s="44" t="s">
        <v>449</v>
      </c>
      <c r="R29" s="44" t="s">
        <v>450</v>
      </c>
      <c r="S29" s="44" t="s">
        <v>451</v>
      </c>
      <c r="T29" s="40" t="s">
        <v>452</v>
      </c>
    </row>
    <row r="30" spans="2:20">
      <c r="B30" s="39">
        <v>26</v>
      </c>
      <c r="C30" s="44" t="s">
        <v>453</v>
      </c>
      <c r="D30" s="44" t="s">
        <v>454</v>
      </c>
      <c r="E30" s="44" t="s">
        <v>455</v>
      </c>
      <c r="F30" s="44" t="s">
        <v>456</v>
      </c>
      <c r="G30" s="44" t="s">
        <v>457</v>
      </c>
      <c r="H30" s="44" t="s">
        <v>458</v>
      </c>
      <c r="I30" s="44" t="s">
        <v>459</v>
      </c>
      <c r="J30" s="44" t="s">
        <v>460</v>
      </c>
      <c r="K30" s="44" t="s">
        <v>461</v>
      </c>
      <c r="L30" s="44" t="s">
        <v>462</v>
      </c>
      <c r="M30" s="44" t="s">
        <v>463</v>
      </c>
      <c r="N30" s="44" t="s">
        <v>464</v>
      </c>
      <c r="O30" s="44" t="s">
        <v>465</v>
      </c>
      <c r="P30" s="44" t="s">
        <v>466</v>
      </c>
      <c r="Q30" s="44" t="s">
        <v>467</v>
      </c>
      <c r="R30" s="44" t="s">
        <v>468</v>
      </c>
      <c r="S30" s="44" t="s">
        <v>469</v>
      </c>
      <c r="T30" s="40" t="s">
        <v>470</v>
      </c>
    </row>
    <row r="31" spans="2:20">
      <c r="B31" s="39">
        <v>27</v>
      </c>
      <c r="C31" s="44" t="s">
        <v>471</v>
      </c>
      <c r="D31" s="44" t="s">
        <v>472</v>
      </c>
      <c r="E31" s="44" t="s">
        <v>473</v>
      </c>
      <c r="F31" s="44" t="s">
        <v>474</v>
      </c>
      <c r="G31" s="44" t="s">
        <v>475</v>
      </c>
      <c r="H31" s="44" t="s">
        <v>476</v>
      </c>
      <c r="I31" s="44" t="s">
        <v>477</v>
      </c>
      <c r="J31" s="44" t="s">
        <v>478</v>
      </c>
      <c r="K31" s="44" t="s">
        <v>479</v>
      </c>
      <c r="L31" s="44" t="s">
        <v>480</v>
      </c>
      <c r="M31" s="44" t="s">
        <v>481</v>
      </c>
      <c r="N31" s="44" t="s">
        <v>482</v>
      </c>
      <c r="O31" s="44" t="s">
        <v>483</v>
      </c>
      <c r="P31" s="44" t="s">
        <v>484</v>
      </c>
      <c r="Q31" s="44" t="s">
        <v>485</v>
      </c>
      <c r="R31" s="44" t="s">
        <v>486</v>
      </c>
      <c r="S31" s="44" t="s">
        <v>487</v>
      </c>
      <c r="T31" s="40" t="s">
        <v>488</v>
      </c>
    </row>
    <row r="32" spans="2:20">
      <c r="B32" s="39">
        <v>28</v>
      </c>
      <c r="C32" s="44" t="s">
        <v>489</v>
      </c>
      <c r="D32" s="44" t="s">
        <v>490</v>
      </c>
      <c r="E32" s="44" t="s">
        <v>491</v>
      </c>
      <c r="F32" s="44" t="s">
        <v>492</v>
      </c>
      <c r="G32" s="44" t="s">
        <v>493</v>
      </c>
      <c r="H32" s="44" t="s">
        <v>494</v>
      </c>
      <c r="I32" s="44" t="s">
        <v>495</v>
      </c>
      <c r="J32" s="44" t="s">
        <v>496</v>
      </c>
      <c r="K32" s="44" t="s">
        <v>497</v>
      </c>
      <c r="L32" s="44" t="s">
        <v>498</v>
      </c>
      <c r="M32" s="44" t="s">
        <v>499</v>
      </c>
      <c r="N32" s="44" t="s">
        <v>500</v>
      </c>
      <c r="O32" s="44" t="s">
        <v>501</v>
      </c>
      <c r="P32" s="44" t="s">
        <v>502</v>
      </c>
      <c r="Q32" s="44" t="s">
        <v>503</v>
      </c>
      <c r="R32" s="44" t="s">
        <v>504</v>
      </c>
      <c r="S32" s="44" t="s">
        <v>505</v>
      </c>
      <c r="T32" s="40" t="s">
        <v>506</v>
      </c>
    </row>
    <row r="33" spans="2:20">
      <c r="B33" s="39">
        <v>29</v>
      </c>
      <c r="C33" s="44" t="s">
        <v>507</v>
      </c>
      <c r="D33" s="44" t="s">
        <v>508</v>
      </c>
      <c r="E33" s="44" t="s">
        <v>509</v>
      </c>
      <c r="F33" s="44" t="s">
        <v>510</v>
      </c>
      <c r="G33" s="44" t="s">
        <v>511</v>
      </c>
      <c r="H33" s="44" t="s">
        <v>512</v>
      </c>
      <c r="I33" s="44" t="s">
        <v>513</v>
      </c>
      <c r="J33" s="44" t="s">
        <v>514</v>
      </c>
      <c r="K33" s="44" t="s">
        <v>515</v>
      </c>
      <c r="L33" s="44" t="s">
        <v>516</v>
      </c>
      <c r="M33" s="44" t="s">
        <v>517</v>
      </c>
      <c r="N33" s="44" t="s">
        <v>518</v>
      </c>
      <c r="O33" s="44" t="s">
        <v>519</v>
      </c>
      <c r="P33" s="44" t="s">
        <v>520</v>
      </c>
      <c r="Q33" s="44" t="s">
        <v>521</v>
      </c>
      <c r="R33" s="44" t="s">
        <v>522</v>
      </c>
      <c r="S33" s="44" t="s">
        <v>523</v>
      </c>
      <c r="T33" s="40" t="s">
        <v>524</v>
      </c>
    </row>
    <row r="34" spans="2:20">
      <c r="B34" s="39">
        <v>30</v>
      </c>
      <c r="C34" s="44" t="s">
        <v>525</v>
      </c>
      <c r="D34" s="44" t="s">
        <v>526</v>
      </c>
      <c r="E34" s="44" t="s">
        <v>527</v>
      </c>
      <c r="F34" s="44" t="s">
        <v>528</v>
      </c>
      <c r="G34" s="44" t="s">
        <v>529</v>
      </c>
      <c r="H34" s="44" t="s">
        <v>530</v>
      </c>
      <c r="I34" s="44" t="s">
        <v>531</v>
      </c>
      <c r="J34" s="44" t="s">
        <v>532</v>
      </c>
      <c r="K34" s="44" t="s">
        <v>533</v>
      </c>
      <c r="L34" s="44" t="s">
        <v>534</v>
      </c>
      <c r="M34" s="44" t="s">
        <v>535</v>
      </c>
      <c r="N34" s="44" t="s">
        <v>536</v>
      </c>
      <c r="O34" s="44" t="s">
        <v>537</v>
      </c>
      <c r="P34" s="44" t="s">
        <v>538</v>
      </c>
      <c r="Q34" s="44" t="s">
        <v>539</v>
      </c>
      <c r="R34" s="44" t="s">
        <v>540</v>
      </c>
      <c r="S34" s="44" t="s">
        <v>541</v>
      </c>
      <c r="T34" s="40" t="s">
        <v>542</v>
      </c>
    </row>
    <row r="35" spans="2:20">
      <c r="B35" s="39">
        <v>31</v>
      </c>
      <c r="C35" s="44" t="s">
        <v>543</v>
      </c>
      <c r="D35" s="44" t="s">
        <v>544</v>
      </c>
      <c r="E35" s="44" t="s">
        <v>545</v>
      </c>
      <c r="F35" s="44" t="s">
        <v>546</v>
      </c>
      <c r="G35" s="44" t="s">
        <v>547</v>
      </c>
      <c r="H35" s="44" t="s">
        <v>548</v>
      </c>
      <c r="I35" s="44" t="s">
        <v>549</v>
      </c>
      <c r="J35" s="44" t="s">
        <v>550</v>
      </c>
      <c r="K35" s="44" t="s">
        <v>551</v>
      </c>
      <c r="L35" s="44" t="s">
        <v>552</v>
      </c>
      <c r="M35" s="44" t="s">
        <v>553</v>
      </c>
      <c r="N35" s="44" t="s">
        <v>554</v>
      </c>
      <c r="O35" s="44" t="s">
        <v>555</v>
      </c>
      <c r="P35" s="44" t="s">
        <v>556</v>
      </c>
      <c r="Q35" s="44" t="s">
        <v>557</v>
      </c>
      <c r="R35" s="44" t="s">
        <v>558</v>
      </c>
      <c r="S35" s="44" t="s">
        <v>559</v>
      </c>
      <c r="T35" s="40" t="s">
        <v>560</v>
      </c>
    </row>
    <row r="36" spans="2:20" ht="14.25" thickBot="1">
      <c r="B36" s="41">
        <v>32</v>
      </c>
      <c r="C36" s="45" t="s">
        <v>561</v>
      </c>
      <c r="D36" s="45" t="s">
        <v>562</v>
      </c>
      <c r="E36" s="45" t="s">
        <v>563</v>
      </c>
      <c r="F36" s="45" t="s">
        <v>564</v>
      </c>
      <c r="G36" s="45" t="s">
        <v>565</v>
      </c>
      <c r="H36" s="45" t="s">
        <v>566</v>
      </c>
      <c r="I36" s="45" t="s">
        <v>567</v>
      </c>
      <c r="J36" s="45" t="s">
        <v>568</v>
      </c>
      <c r="K36" s="45" t="s">
        <v>569</v>
      </c>
      <c r="L36" s="45" t="s">
        <v>570</v>
      </c>
      <c r="M36" s="45" t="s">
        <v>571</v>
      </c>
      <c r="N36" s="45" t="s">
        <v>572</v>
      </c>
      <c r="O36" s="45" t="s">
        <v>573</v>
      </c>
      <c r="P36" s="45" t="s">
        <v>574</v>
      </c>
      <c r="Q36" s="45" t="s">
        <v>575</v>
      </c>
      <c r="R36" s="45" t="s">
        <v>576</v>
      </c>
      <c r="S36" s="45" t="s">
        <v>577</v>
      </c>
      <c r="T36" s="42" t="s">
        <v>578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29"/>
  <sheetViews>
    <sheetView workbookViewId="0"/>
  </sheetViews>
  <sheetFormatPr defaultRowHeight="13.5"/>
  <cols>
    <col min="1" max="16384" width="9.140625" style="87"/>
  </cols>
  <sheetData>
    <row r="1" spans="1:7" ht="14.25" thickBot="1">
      <c r="A1" s="99"/>
    </row>
    <row r="2" spans="1:7" ht="14.25" thickBot="1">
      <c r="B2" s="97"/>
      <c r="C2" s="96" t="s">
        <v>583</v>
      </c>
    </row>
    <row r="3" spans="1:7" s="94" customFormat="1"/>
    <row r="4" spans="1:7" ht="14.25" thickBot="1">
      <c r="B4" s="95" t="s">
        <v>682</v>
      </c>
      <c r="C4" s="94"/>
      <c r="D4" s="94"/>
      <c r="E4" s="94"/>
      <c r="F4" s="95" t="s">
        <v>681</v>
      </c>
      <c r="G4" s="94"/>
    </row>
    <row r="5" spans="1:7">
      <c r="B5" s="100">
        <v>1</v>
      </c>
      <c r="C5" s="101">
        <v>10</v>
      </c>
      <c r="F5" s="93">
        <v>1</v>
      </c>
      <c r="G5" s="92">
        <v>10</v>
      </c>
    </row>
    <row r="6" spans="1:7">
      <c r="B6" s="102">
        <v>2</v>
      </c>
      <c r="C6" s="103">
        <v>20</v>
      </c>
      <c r="F6" s="91">
        <v>2</v>
      </c>
      <c r="G6" s="90">
        <v>20</v>
      </c>
    </row>
    <row r="7" spans="1:7">
      <c r="B7" s="102">
        <v>3</v>
      </c>
      <c r="C7" s="103">
        <v>30</v>
      </c>
      <c r="F7" s="91"/>
      <c r="G7" s="90">
        <v>30</v>
      </c>
    </row>
    <row r="8" spans="1:7">
      <c r="B8" s="102">
        <v>4</v>
      </c>
      <c r="C8" s="103">
        <v>40</v>
      </c>
      <c r="F8" s="91"/>
      <c r="G8" s="90">
        <v>40</v>
      </c>
    </row>
    <row r="9" spans="1:7">
      <c r="B9" s="102">
        <v>5</v>
      </c>
      <c r="C9" s="103">
        <v>50</v>
      </c>
      <c r="F9" s="91"/>
      <c r="G9" s="90">
        <v>50</v>
      </c>
    </row>
    <row r="10" spans="1:7">
      <c r="B10" s="102">
        <v>6</v>
      </c>
      <c r="C10" s="103"/>
      <c r="F10" s="91">
        <v>6</v>
      </c>
      <c r="G10" s="90">
        <v>60</v>
      </c>
    </row>
    <row r="11" spans="1:7">
      <c r="B11" s="102">
        <v>7</v>
      </c>
      <c r="C11" s="103"/>
      <c r="F11" s="91">
        <v>7</v>
      </c>
      <c r="G11" s="90">
        <v>70</v>
      </c>
    </row>
    <row r="12" spans="1:7">
      <c r="B12" s="102">
        <v>8</v>
      </c>
      <c r="C12" s="103"/>
      <c r="F12" s="91">
        <v>8</v>
      </c>
      <c r="G12" s="90">
        <v>80</v>
      </c>
    </row>
    <row r="13" spans="1:7">
      <c r="B13" s="102">
        <v>9</v>
      </c>
      <c r="C13" s="103"/>
      <c r="F13" s="91">
        <v>9</v>
      </c>
      <c r="G13" s="90">
        <v>90</v>
      </c>
    </row>
    <row r="14" spans="1:7">
      <c r="B14" s="102">
        <v>10</v>
      </c>
      <c r="C14" s="103">
        <v>100</v>
      </c>
      <c r="F14" s="91">
        <v>10</v>
      </c>
      <c r="G14" s="90">
        <v>100</v>
      </c>
    </row>
    <row r="15" spans="1:7">
      <c r="B15" s="102">
        <v>11</v>
      </c>
      <c r="C15" s="103">
        <v>110</v>
      </c>
      <c r="F15" s="91"/>
      <c r="G15" s="90">
        <v>110</v>
      </c>
    </row>
    <row r="16" spans="1:7">
      <c r="B16" s="102">
        <v>12</v>
      </c>
      <c r="C16" s="103">
        <v>120</v>
      </c>
      <c r="F16" s="91"/>
      <c r="G16" s="90">
        <v>120</v>
      </c>
    </row>
    <row r="17" spans="2:7">
      <c r="B17" s="102">
        <v>13</v>
      </c>
      <c r="C17" s="103">
        <v>130</v>
      </c>
      <c r="F17" s="91"/>
      <c r="G17" s="90">
        <v>130</v>
      </c>
    </row>
    <row r="18" spans="2:7">
      <c r="B18" s="102">
        <v>14</v>
      </c>
      <c r="C18" s="103">
        <v>140</v>
      </c>
      <c r="F18" s="91">
        <v>14</v>
      </c>
      <c r="G18" s="90">
        <v>140</v>
      </c>
    </row>
    <row r="19" spans="2:7">
      <c r="B19" s="91">
        <v>15</v>
      </c>
      <c r="C19" s="90"/>
      <c r="F19" s="91">
        <v>15</v>
      </c>
      <c r="G19" s="90">
        <v>150</v>
      </c>
    </row>
    <row r="20" spans="2:7">
      <c r="B20" s="91">
        <v>16</v>
      </c>
      <c r="C20" s="90"/>
      <c r="F20" s="91">
        <v>16</v>
      </c>
      <c r="G20" s="90">
        <v>160</v>
      </c>
    </row>
    <row r="21" spans="2:7">
      <c r="B21" s="91">
        <v>17</v>
      </c>
      <c r="C21" s="90"/>
      <c r="F21" s="91">
        <v>17</v>
      </c>
      <c r="G21" s="90">
        <v>170</v>
      </c>
    </row>
    <row r="22" spans="2:7">
      <c r="B22" s="91">
        <v>18</v>
      </c>
      <c r="C22" s="90"/>
      <c r="F22" s="91">
        <v>18</v>
      </c>
      <c r="G22" s="90">
        <v>180</v>
      </c>
    </row>
    <row r="23" spans="2:7">
      <c r="B23" s="91">
        <v>19</v>
      </c>
      <c r="C23" s="90">
        <v>190</v>
      </c>
      <c r="F23" s="91">
        <v>19</v>
      </c>
      <c r="G23" s="90">
        <v>190</v>
      </c>
    </row>
    <row r="24" spans="2:7">
      <c r="B24" s="91">
        <v>20</v>
      </c>
      <c r="C24" s="90">
        <v>200</v>
      </c>
      <c r="F24" s="91">
        <v>20</v>
      </c>
      <c r="G24" s="90">
        <v>200</v>
      </c>
    </row>
    <row r="25" spans="2:7">
      <c r="B25" s="91">
        <v>21</v>
      </c>
      <c r="C25" s="90">
        <v>210</v>
      </c>
      <c r="F25" s="91"/>
      <c r="G25" s="90">
        <v>210</v>
      </c>
    </row>
    <row r="26" spans="2:7">
      <c r="B26" s="91">
        <v>22</v>
      </c>
      <c r="C26" s="90">
        <v>220</v>
      </c>
      <c r="F26" s="91"/>
      <c r="G26" s="90">
        <v>220</v>
      </c>
    </row>
    <row r="27" spans="2:7">
      <c r="B27" s="91">
        <v>23</v>
      </c>
      <c r="C27" s="90">
        <v>230</v>
      </c>
      <c r="F27" s="91">
        <v>23</v>
      </c>
      <c r="G27" s="90">
        <v>230</v>
      </c>
    </row>
    <row r="28" spans="2:7">
      <c r="B28" s="91">
        <v>24</v>
      </c>
      <c r="C28" s="90">
        <v>240</v>
      </c>
      <c r="F28" s="91">
        <v>24</v>
      </c>
      <c r="G28" s="90">
        <v>240</v>
      </c>
    </row>
    <row r="29" spans="2:7" ht="14.25" thickBot="1">
      <c r="B29" s="89">
        <v>25</v>
      </c>
      <c r="C29" s="88">
        <v>250</v>
      </c>
      <c r="F29" s="89">
        <v>25</v>
      </c>
      <c r="G29" s="88">
        <v>250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G31"/>
  <sheetViews>
    <sheetView workbookViewId="0"/>
  </sheetViews>
  <sheetFormatPr defaultRowHeight="13.5"/>
  <cols>
    <col min="1" max="16384" width="9.140625" style="87"/>
  </cols>
  <sheetData>
    <row r="1" spans="1:7" ht="14.25" thickBot="1">
      <c r="A1" s="99"/>
    </row>
    <row r="2" spans="1:7" ht="14.25" thickBot="1">
      <c r="B2" s="97"/>
      <c r="C2" s="96" t="s">
        <v>583</v>
      </c>
    </row>
    <row r="3" spans="1:7" s="94" customFormat="1" ht="14.25" thickBot="1"/>
    <row r="4" spans="1:7" s="94" customFormat="1" ht="14.25" thickBot="1">
      <c r="B4" s="120"/>
      <c r="C4" s="121" t="s">
        <v>744</v>
      </c>
    </row>
    <row r="5" spans="1:7" s="94" customFormat="1"/>
    <row r="6" spans="1:7" ht="14.25" thickBot="1">
      <c r="B6" s="95" t="s">
        <v>682</v>
      </c>
      <c r="C6" s="94"/>
      <c r="D6" s="94"/>
      <c r="E6" s="94"/>
      <c r="F6" s="95" t="s">
        <v>681</v>
      </c>
      <c r="G6" s="94"/>
    </row>
    <row r="7" spans="1:7">
      <c r="B7" s="100">
        <v>1</v>
      </c>
      <c r="C7" s="101">
        <v>10</v>
      </c>
      <c r="F7" s="93">
        <v>1</v>
      </c>
      <c r="G7" s="92">
        <v>10</v>
      </c>
    </row>
    <row r="8" spans="1:7">
      <c r="B8" s="102">
        <v>2</v>
      </c>
      <c r="C8" s="103">
        <v>20</v>
      </c>
      <c r="F8" s="91">
        <v>2</v>
      </c>
      <c r="G8" s="90">
        <v>20</v>
      </c>
    </row>
    <row r="9" spans="1:7">
      <c r="B9" s="102">
        <v>3</v>
      </c>
      <c r="C9" s="103">
        <v>30</v>
      </c>
      <c r="F9" s="119"/>
      <c r="G9" s="90">
        <v>30</v>
      </c>
    </row>
    <row r="10" spans="1:7">
      <c r="B10" s="102">
        <v>4</v>
      </c>
      <c r="C10" s="103">
        <v>40</v>
      </c>
      <c r="F10" s="119"/>
      <c r="G10" s="90">
        <v>40</v>
      </c>
    </row>
    <row r="11" spans="1:7">
      <c r="B11" s="102">
        <v>5</v>
      </c>
      <c r="C11" s="103">
        <v>50</v>
      </c>
      <c r="F11" s="119"/>
      <c r="G11" s="90">
        <v>50</v>
      </c>
    </row>
    <row r="12" spans="1:7">
      <c r="B12" s="102">
        <v>6</v>
      </c>
      <c r="C12" s="118"/>
      <c r="F12" s="91">
        <v>6</v>
      </c>
      <c r="G12" s="90">
        <v>60</v>
      </c>
    </row>
    <row r="13" spans="1:7">
      <c r="B13" s="102">
        <v>7</v>
      </c>
      <c r="C13" s="118"/>
      <c r="F13" s="91">
        <v>7</v>
      </c>
      <c r="G13" s="90">
        <v>70</v>
      </c>
    </row>
    <row r="14" spans="1:7">
      <c r="B14" s="102">
        <v>8</v>
      </c>
      <c r="C14" s="118"/>
      <c r="F14" s="91">
        <v>8</v>
      </c>
      <c r="G14" s="90">
        <v>80</v>
      </c>
    </row>
    <row r="15" spans="1:7">
      <c r="B15" s="102">
        <v>9</v>
      </c>
      <c r="C15" s="118"/>
      <c r="F15" s="91">
        <v>9</v>
      </c>
      <c r="G15" s="90">
        <v>90</v>
      </c>
    </row>
    <row r="16" spans="1:7">
      <c r="B16" s="102">
        <v>10</v>
      </c>
      <c r="C16" s="103">
        <v>100</v>
      </c>
      <c r="F16" s="91">
        <v>10</v>
      </c>
      <c r="G16" s="90">
        <v>100</v>
      </c>
    </row>
    <row r="17" spans="2:7">
      <c r="B17" s="102">
        <v>11</v>
      </c>
      <c r="C17" s="103">
        <v>110</v>
      </c>
      <c r="F17" s="119"/>
      <c r="G17" s="90">
        <v>110</v>
      </c>
    </row>
    <row r="18" spans="2:7">
      <c r="B18" s="102">
        <v>12</v>
      </c>
      <c r="C18" s="103">
        <v>120</v>
      </c>
      <c r="F18" s="119"/>
      <c r="G18" s="90">
        <v>120</v>
      </c>
    </row>
    <row r="19" spans="2:7">
      <c r="B19" s="102">
        <v>13</v>
      </c>
      <c r="C19" s="103">
        <v>130</v>
      </c>
      <c r="F19" s="119"/>
      <c r="G19" s="90">
        <v>130</v>
      </c>
    </row>
    <row r="20" spans="2:7">
      <c r="B20" s="102">
        <v>14</v>
      </c>
      <c r="C20" s="103">
        <v>140</v>
      </c>
      <c r="F20" s="91">
        <v>14</v>
      </c>
      <c r="G20" s="90">
        <v>140</v>
      </c>
    </row>
    <row r="21" spans="2:7">
      <c r="B21" s="91">
        <v>15</v>
      </c>
      <c r="C21" s="118"/>
      <c r="F21" s="91">
        <v>15</v>
      </c>
      <c r="G21" s="90">
        <v>150</v>
      </c>
    </row>
    <row r="22" spans="2:7">
      <c r="B22" s="91">
        <v>16</v>
      </c>
      <c r="C22" s="118"/>
      <c r="F22" s="91">
        <v>16</v>
      </c>
      <c r="G22" s="90">
        <v>160</v>
      </c>
    </row>
    <row r="23" spans="2:7">
      <c r="B23" s="91">
        <v>17</v>
      </c>
      <c r="C23" s="118"/>
      <c r="F23" s="91">
        <v>17</v>
      </c>
      <c r="G23" s="90">
        <v>170</v>
      </c>
    </row>
    <row r="24" spans="2:7">
      <c r="B24" s="91">
        <v>18</v>
      </c>
      <c r="C24" s="118"/>
      <c r="F24" s="91">
        <v>18</v>
      </c>
      <c r="G24" s="90">
        <v>180</v>
      </c>
    </row>
    <row r="25" spans="2:7">
      <c r="B25" s="91">
        <v>19</v>
      </c>
      <c r="C25" s="90">
        <v>190</v>
      </c>
      <c r="F25" s="91">
        <v>19</v>
      </c>
      <c r="G25" s="90">
        <v>190</v>
      </c>
    </row>
    <row r="26" spans="2:7">
      <c r="B26" s="91">
        <v>20</v>
      </c>
      <c r="C26" s="90">
        <v>200</v>
      </c>
      <c r="F26" s="91">
        <v>20</v>
      </c>
      <c r="G26" s="90">
        <v>200</v>
      </c>
    </row>
    <row r="27" spans="2:7">
      <c r="B27" s="91">
        <v>21</v>
      </c>
      <c r="C27" s="90">
        <v>210</v>
      </c>
      <c r="F27" s="119"/>
      <c r="G27" s="90">
        <v>210</v>
      </c>
    </row>
    <row r="28" spans="2:7">
      <c r="B28" s="91">
        <v>22</v>
      </c>
      <c r="C28" s="90">
        <v>220</v>
      </c>
      <c r="F28" s="119"/>
      <c r="G28" s="90">
        <v>220</v>
      </c>
    </row>
    <row r="29" spans="2:7">
      <c r="B29" s="91">
        <v>23</v>
      </c>
      <c r="C29" s="90">
        <v>230</v>
      </c>
      <c r="F29" s="91">
        <v>23</v>
      </c>
      <c r="G29" s="90">
        <v>230</v>
      </c>
    </row>
    <row r="30" spans="2:7">
      <c r="B30" s="91">
        <v>24</v>
      </c>
      <c r="C30" s="90">
        <v>240</v>
      </c>
      <c r="F30" s="91">
        <v>24</v>
      </c>
      <c r="G30" s="90">
        <v>240</v>
      </c>
    </row>
    <row r="31" spans="2:7" ht="14.25" thickBot="1">
      <c r="B31" s="89">
        <v>25</v>
      </c>
      <c r="C31" s="88">
        <v>250</v>
      </c>
      <c r="F31" s="89">
        <v>25</v>
      </c>
      <c r="G31" s="88">
        <v>250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C2"/>
  <sheetViews>
    <sheetView tabSelected="1" workbookViewId="0">
      <selection activeCell="A4" sqref="A4"/>
    </sheetView>
  </sheetViews>
  <sheetFormatPr defaultColWidth="9" defaultRowHeight="13.5"/>
  <cols>
    <col min="1" max="2" width="9" style="3"/>
    <col min="3" max="16384" width="9" style="8"/>
  </cols>
  <sheetData>
    <row r="1" spans="1:3" ht="14.25" thickBot="1"/>
    <row r="2" spans="1:3" ht="14.25" thickBot="1">
      <c r="A2" s="8"/>
      <c r="B2" s="34"/>
      <c r="C2" s="35" t="s">
        <v>583</v>
      </c>
    </row>
  </sheetData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10.7109375" defaultRowHeight="13.5"/>
  <cols>
    <col min="1" max="1" width="10.7109375" style="8"/>
    <col min="2" max="4" width="9.140625" style="46" customWidth="1"/>
    <col min="5" max="5" width="10.7109375" style="8"/>
    <col min="6" max="6" width="14.85546875" style="8" bestFit="1" customWidth="1"/>
    <col min="7" max="7" width="10.7109375" style="8"/>
    <col min="8" max="8" width="11.28515625" style="8" bestFit="1" customWidth="1"/>
    <col min="9" max="9" width="12.42578125" style="9" bestFit="1" customWidth="1"/>
    <col min="10" max="10" width="12.42578125" style="8" bestFit="1" customWidth="1"/>
    <col min="11" max="11" width="14.85546875" style="8" bestFit="1" customWidth="1"/>
    <col min="12" max="16384" width="10.7109375" style="8"/>
  </cols>
  <sheetData>
    <row r="1" spans="1:15" s="5" customFormat="1"/>
    <row r="2" spans="1:15" ht="14.25" thickBot="1">
      <c r="A2" s="1"/>
      <c r="I2" s="1"/>
      <c r="J2" s="1"/>
    </row>
    <row r="3" spans="1:15" ht="14.25" thickBot="1">
      <c r="A3" s="2"/>
      <c r="D3" s="34"/>
      <c r="E3" s="35" t="s">
        <v>583</v>
      </c>
      <c r="I3" s="8"/>
    </row>
    <row r="4" spans="1:15">
      <c r="A4" s="3"/>
      <c r="I4" s="10"/>
      <c r="J4" s="3"/>
    </row>
    <row r="5" spans="1:15">
      <c r="A5" s="3"/>
      <c r="I5" s="10"/>
      <c r="J5" s="3"/>
    </row>
    <row r="6" spans="1:15">
      <c r="A6" s="3"/>
      <c r="I6" s="10"/>
      <c r="J6" s="3"/>
    </row>
    <row r="7" spans="1:15">
      <c r="A7" s="3"/>
      <c r="I7" s="10"/>
      <c r="J7" s="3"/>
    </row>
    <row r="8" spans="1:15">
      <c r="A8" s="3"/>
      <c r="I8" s="10"/>
      <c r="J8" s="3"/>
    </row>
    <row r="9" spans="1:15" ht="14.25" thickBot="1">
      <c r="A9" s="3"/>
      <c r="I9" s="10"/>
      <c r="J9" s="3"/>
    </row>
    <row r="10" spans="1:15">
      <c r="A10" s="3"/>
      <c r="F10" s="8" t="s">
        <v>584</v>
      </c>
      <c r="G10" s="77" t="s">
        <v>679</v>
      </c>
      <c r="H10" s="79"/>
      <c r="I10" s="10"/>
      <c r="J10" s="3"/>
      <c r="K10" s="8" t="s">
        <v>584</v>
      </c>
      <c r="L10" s="12" t="s">
        <v>6</v>
      </c>
      <c r="M10" s="28"/>
      <c r="N10" s="28"/>
      <c r="O10" s="32"/>
    </row>
    <row r="11" spans="1:15">
      <c r="A11" s="3"/>
      <c r="F11" s="8" t="s">
        <v>585</v>
      </c>
      <c r="G11" s="83" t="s">
        <v>4</v>
      </c>
      <c r="H11" s="80"/>
      <c r="I11" s="10"/>
      <c r="J11" s="3"/>
      <c r="K11" s="8" t="s">
        <v>585</v>
      </c>
      <c r="L11" s="13" t="s">
        <v>4</v>
      </c>
      <c r="M11" s="30"/>
      <c r="N11" s="30"/>
      <c r="O11" s="31"/>
    </row>
    <row r="12" spans="1:15">
      <c r="A12" s="3"/>
      <c r="F12" s="8" t="s">
        <v>0</v>
      </c>
      <c r="G12" s="81">
        <v>1</v>
      </c>
      <c r="H12" s="82">
        <v>365</v>
      </c>
      <c r="I12" s="10"/>
      <c r="J12" s="3"/>
      <c r="K12" s="8" t="s">
        <v>0</v>
      </c>
      <c r="L12" s="23">
        <v>1</v>
      </c>
      <c r="M12" s="14">
        <v>120.25</v>
      </c>
      <c r="N12" s="14">
        <v>210.5</v>
      </c>
      <c r="O12" s="24">
        <v>365</v>
      </c>
    </row>
    <row r="13" spans="1:15">
      <c r="A13" s="3"/>
      <c r="F13" s="8" t="s">
        <v>586</v>
      </c>
      <c r="G13" s="84">
        <v>0.7</v>
      </c>
      <c r="H13" s="78">
        <v>0.7</v>
      </c>
      <c r="I13" s="10"/>
      <c r="J13" s="3"/>
      <c r="K13" s="8" t="s">
        <v>586</v>
      </c>
      <c r="L13" s="25">
        <v>0.7</v>
      </c>
      <c r="M13" s="15">
        <v>0.65</v>
      </c>
      <c r="N13" s="15">
        <v>0.7</v>
      </c>
      <c r="O13" s="16">
        <v>0.65</v>
      </c>
    </row>
    <row r="14" spans="1:15">
      <c r="A14" s="3"/>
      <c r="F14" s="8" t="s">
        <v>587</v>
      </c>
      <c r="G14" s="84">
        <v>0.7</v>
      </c>
      <c r="H14" s="78">
        <v>0.7</v>
      </c>
      <c r="I14" s="10"/>
      <c r="J14" s="3"/>
      <c r="K14" s="8" t="s">
        <v>587</v>
      </c>
      <c r="L14" s="25">
        <v>0.7</v>
      </c>
      <c r="M14" s="15">
        <v>0.65</v>
      </c>
      <c r="N14" s="15">
        <v>0.7</v>
      </c>
      <c r="O14" s="16">
        <v>0.65</v>
      </c>
    </row>
    <row r="15" spans="1:15">
      <c r="A15" s="3"/>
      <c r="F15" s="8" t="s">
        <v>588</v>
      </c>
      <c r="G15" s="84">
        <v>0.7</v>
      </c>
      <c r="H15" s="78">
        <v>0.7</v>
      </c>
      <c r="I15" s="10"/>
      <c r="J15" s="3"/>
      <c r="K15" s="8" t="s">
        <v>588</v>
      </c>
      <c r="L15" s="25">
        <v>0.7</v>
      </c>
      <c r="M15" s="15">
        <v>0.65</v>
      </c>
      <c r="N15" s="15">
        <v>0.7</v>
      </c>
      <c r="O15" s="16">
        <v>0.65</v>
      </c>
    </row>
    <row r="16" spans="1:15">
      <c r="A16" s="3"/>
      <c r="F16" s="8" t="s">
        <v>589</v>
      </c>
      <c r="G16" s="84">
        <v>0.7</v>
      </c>
      <c r="H16" s="78">
        <v>0.7</v>
      </c>
      <c r="I16" s="10"/>
      <c r="J16" s="3"/>
      <c r="K16" s="8" t="s">
        <v>589</v>
      </c>
      <c r="L16" s="25">
        <v>0.7</v>
      </c>
      <c r="M16" s="15">
        <v>0.65</v>
      </c>
      <c r="N16" s="15">
        <v>0.7</v>
      </c>
      <c r="O16" s="16">
        <v>0.65</v>
      </c>
    </row>
    <row r="17" spans="1:15">
      <c r="A17" s="3"/>
      <c r="F17" s="8" t="s">
        <v>590</v>
      </c>
      <c r="G17" s="84">
        <v>0.7</v>
      </c>
      <c r="H17" s="78">
        <v>0.7</v>
      </c>
      <c r="I17" s="10"/>
      <c r="J17" s="3"/>
      <c r="K17" s="8" t="s">
        <v>590</v>
      </c>
      <c r="L17" s="25">
        <v>0.7</v>
      </c>
      <c r="M17" s="15">
        <v>0.65</v>
      </c>
      <c r="N17" s="15">
        <v>0.7</v>
      </c>
      <c r="O17" s="16">
        <v>0.65</v>
      </c>
    </row>
    <row r="18" spans="1:15">
      <c r="A18" s="3"/>
      <c r="F18" s="8" t="s">
        <v>591</v>
      </c>
      <c r="G18" s="84">
        <v>0.7</v>
      </c>
      <c r="H18" s="78">
        <v>0.7</v>
      </c>
      <c r="I18" s="10"/>
      <c r="J18" s="3"/>
      <c r="K18" s="8" t="s">
        <v>591</v>
      </c>
      <c r="L18" s="25">
        <v>0.7</v>
      </c>
      <c r="M18" s="15">
        <v>0.65</v>
      </c>
      <c r="N18" s="15">
        <v>0.7</v>
      </c>
      <c r="O18" s="16">
        <v>0.65</v>
      </c>
    </row>
    <row r="19" spans="1:15">
      <c r="A19" s="3"/>
      <c r="F19" s="8" t="s">
        <v>592</v>
      </c>
      <c r="G19" s="25">
        <v>0.7</v>
      </c>
      <c r="H19" s="78">
        <v>0.7</v>
      </c>
      <c r="I19" s="3"/>
      <c r="J19" s="3"/>
      <c r="K19" s="8" t="s">
        <v>592</v>
      </c>
      <c r="L19" s="25">
        <v>0.7</v>
      </c>
      <c r="M19" s="15">
        <v>0.65</v>
      </c>
      <c r="N19" s="15">
        <v>0.7</v>
      </c>
      <c r="O19" s="16">
        <v>0.65</v>
      </c>
    </row>
    <row r="20" spans="1:15">
      <c r="A20" s="3"/>
      <c r="F20" s="8" t="s">
        <v>593</v>
      </c>
      <c r="G20" s="25">
        <v>0.7</v>
      </c>
      <c r="H20" s="78">
        <v>0.7</v>
      </c>
      <c r="I20" s="3"/>
      <c r="J20" s="3"/>
      <c r="K20" s="8" t="s">
        <v>593</v>
      </c>
      <c r="L20" s="25">
        <v>0.7</v>
      </c>
      <c r="M20" s="15">
        <v>0.65</v>
      </c>
      <c r="N20" s="15">
        <v>0.7</v>
      </c>
      <c r="O20" s="16">
        <v>0.65</v>
      </c>
    </row>
    <row r="21" spans="1:15">
      <c r="A21" s="3"/>
      <c r="F21" s="8" t="s">
        <v>594</v>
      </c>
      <c r="G21" s="25">
        <v>0.7</v>
      </c>
      <c r="H21" s="16">
        <v>0.7</v>
      </c>
      <c r="I21" s="3"/>
      <c r="J21" s="3"/>
      <c r="K21" s="8" t="s">
        <v>594</v>
      </c>
      <c r="L21" s="25">
        <v>0.7</v>
      </c>
      <c r="M21" s="15">
        <v>0.65</v>
      </c>
      <c r="N21" s="15">
        <v>0.7</v>
      </c>
      <c r="O21" s="16">
        <v>0.65</v>
      </c>
    </row>
    <row r="22" spans="1:15">
      <c r="A22" s="3"/>
      <c r="F22" s="8" t="s">
        <v>595</v>
      </c>
      <c r="G22" s="25">
        <v>0.7</v>
      </c>
      <c r="H22" s="16">
        <v>0.7</v>
      </c>
      <c r="I22" s="3"/>
      <c r="J22" s="3"/>
      <c r="K22" s="8" t="s">
        <v>595</v>
      </c>
      <c r="L22" s="25">
        <v>0.7</v>
      </c>
      <c r="M22" s="15">
        <v>0.65</v>
      </c>
      <c r="N22" s="15">
        <v>0.7</v>
      </c>
      <c r="O22" s="16">
        <v>0.65</v>
      </c>
    </row>
    <row r="23" spans="1:15">
      <c r="A23" s="3"/>
      <c r="F23" s="8" t="s">
        <v>596</v>
      </c>
      <c r="G23" s="25">
        <v>0.7</v>
      </c>
      <c r="H23" s="16">
        <v>0.7</v>
      </c>
      <c r="I23" s="3"/>
      <c r="J23" s="3"/>
      <c r="K23" s="8" t="s">
        <v>596</v>
      </c>
      <c r="L23" s="25">
        <v>0.7</v>
      </c>
      <c r="M23" s="15">
        <v>0.65</v>
      </c>
      <c r="N23" s="15">
        <v>0.7</v>
      </c>
      <c r="O23" s="16">
        <v>0.65</v>
      </c>
    </row>
    <row r="24" spans="1:15">
      <c r="A24" s="3"/>
      <c r="F24" s="8" t="s">
        <v>597</v>
      </c>
      <c r="G24" s="25">
        <v>0.7</v>
      </c>
      <c r="H24" s="16">
        <v>0.7</v>
      </c>
      <c r="I24" s="3"/>
      <c r="J24" s="3"/>
      <c r="K24" s="8" t="s">
        <v>597</v>
      </c>
      <c r="L24" s="25">
        <v>0.7</v>
      </c>
      <c r="M24" s="15">
        <v>0.65</v>
      </c>
      <c r="N24" s="15">
        <v>0.7</v>
      </c>
      <c r="O24" s="16">
        <v>0.65</v>
      </c>
    </row>
    <row r="25" spans="1:15">
      <c r="A25" s="3"/>
      <c r="F25" s="8" t="s">
        <v>598</v>
      </c>
      <c r="G25" s="25">
        <v>0.7</v>
      </c>
      <c r="H25" s="16">
        <v>0.7</v>
      </c>
      <c r="I25" s="3"/>
      <c r="J25" s="3"/>
      <c r="K25" s="8" t="s">
        <v>598</v>
      </c>
      <c r="L25" s="25">
        <v>0.7</v>
      </c>
      <c r="M25" s="15">
        <v>0.65</v>
      </c>
      <c r="N25" s="15">
        <v>0.7</v>
      </c>
      <c r="O25" s="16">
        <v>0.65</v>
      </c>
    </row>
    <row r="26" spans="1:15">
      <c r="A26" s="3"/>
      <c r="F26" s="8" t="s">
        <v>599</v>
      </c>
      <c r="G26" s="25">
        <v>0.7</v>
      </c>
      <c r="H26" s="16">
        <v>0.7</v>
      </c>
      <c r="I26" s="3"/>
      <c r="J26" s="3"/>
      <c r="K26" s="8" t="s">
        <v>599</v>
      </c>
      <c r="L26" s="25">
        <v>0.7</v>
      </c>
      <c r="M26" s="15">
        <v>0.65</v>
      </c>
      <c r="N26" s="15">
        <v>0.7</v>
      </c>
      <c r="O26" s="16">
        <v>0.65</v>
      </c>
    </row>
    <row r="27" spans="1:15">
      <c r="A27" s="3"/>
      <c r="F27" s="8" t="s">
        <v>600</v>
      </c>
      <c r="G27" s="25">
        <v>0.7</v>
      </c>
      <c r="H27" s="16">
        <v>0.7</v>
      </c>
      <c r="I27" s="3"/>
      <c r="J27" s="3"/>
      <c r="K27" s="8" t="s">
        <v>600</v>
      </c>
      <c r="L27" s="25">
        <v>0.7</v>
      </c>
      <c r="M27" s="15">
        <v>0.65</v>
      </c>
      <c r="N27" s="15">
        <v>0.7</v>
      </c>
      <c r="O27" s="16">
        <v>0.65</v>
      </c>
    </row>
    <row r="28" spans="1:15">
      <c r="A28" s="3"/>
      <c r="F28" s="8" t="s">
        <v>601</v>
      </c>
      <c r="G28" s="25">
        <v>0.7</v>
      </c>
      <c r="H28" s="16">
        <v>0.7</v>
      </c>
      <c r="I28" s="3"/>
      <c r="J28" s="3"/>
      <c r="K28" s="8" t="s">
        <v>601</v>
      </c>
      <c r="L28" s="25">
        <v>0.7</v>
      </c>
      <c r="M28" s="15">
        <v>0.65</v>
      </c>
      <c r="N28" s="15">
        <v>0.7</v>
      </c>
      <c r="O28" s="16">
        <v>0.65</v>
      </c>
    </row>
    <row r="29" spans="1:15">
      <c r="A29" s="3"/>
      <c r="F29" s="8" t="s">
        <v>602</v>
      </c>
      <c r="G29" s="25">
        <v>0.7</v>
      </c>
      <c r="H29" s="16">
        <v>0.7</v>
      </c>
      <c r="I29" s="3"/>
      <c r="J29" s="3"/>
      <c r="K29" s="8" t="s">
        <v>602</v>
      </c>
      <c r="L29" s="25">
        <v>0.7</v>
      </c>
      <c r="M29" s="15">
        <v>0.65</v>
      </c>
      <c r="N29" s="15">
        <v>0.7</v>
      </c>
      <c r="O29" s="16">
        <v>0.65</v>
      </c>
    </row>
    <row r="30" spans="1:15">
      <c r="A30" s="3"/>
      <c r="F30" s="8" t="s">
        <v>603</v>
      </c>
      <c r="G30" s="25">
        <v>0.7</v>
      </c>
      <c r="H30" s="16">
        <v>0.7</v>
      </c>
      <c r="I30" s="3"/>
      <c r="J30" s="3"/>
      <c r="K30" s="8" t="s">
        <v>603</v>
      </c>
      <c r="L30" s="25">
        <v>0.7</v>
      </c>
      <c r="M30" s="15">
        <v>0.65</v>
      </c>
      <c r="N30" s="15">
        <v>0.7</v>
      </c>
      <c r="O30" s="16">
        <v>0.65</v>
      </c>
    </row>
    <row r="31" spans="1:15">
      <c r="A31" s="3"/>
      <c r="F31" s="8" t="s">
        <v>604</v>
      </c>
      <c r="G31" s="25">
        <v>0.7</v>
      </c>
      <c r="H31" s="16">
        <v>0.7</v>
      </c>
      <c r="I31" s="3"/>
      <c r="J31" s="3"/>
      <c r="K31" s="8" t="s">
        <v>604</v>
      </c>
      <c r="L31" s="25">
        <v>0.7</v>
      </c>
      <c r="M31" s="15">
        <v>0.65</v>
      </c>
      <c r="N31" s="15">
        <v>0.7</v>
      </c>
      <c r="O31" s="16">
        <v>0.65</v>
      </c>
    </row>
    <row r="32" spans="1:15">
      <c r="A32" s="3"/>
      <c r="F32" s="8" t="s">
        <v>605</v>
      </c>
      <c r="G32" s="25">
        <v>0.7</v>
      </c>
      <c r="H32" s="16">
        <v>0.7</v>
      </c>
      <c r="I32" s="3"/>
      <c r="J32" s="3"/>
      <c r="K32" s="8" t="s">
        <v>605</v>
      </c>
      <c r="L32" s="25">
        <v>0.7</v>
      </c>
      <c r="M32" s="15">
        <v>0.65</v>
      </c>
      <c r="N32" s="15">
        <v>0.7</v>
      </c>
      <c r="O32" s="16">
        <v>0.65</v>
      </c>
    </row>
    <row r="33" spans="1:15">
      <c r="A33" s="3"/>
      <c r="F33" s="8" t="s">
        <v>606</v>
      </c>
      <c r="G33" s="25">
        <v>0.7</v>
      </c>
      <c r="H33" s="16">
        <v>0.7</v>
      </c>
      <c r="I33" s="3"/>
      <c r="J33" s="3"/>
      <c r="K33" s="8" t="s">
        <v>606</v>
      </c>
      <c r="L33" s="25">
        <v>0.7</v>
      </c>
      <c r="M33" s="15">
        <v>0.65</v>
      </c>
      <c r="N33" s="15">
        <v>0.7</v>
      </c>
      <c r="O33" s="16">
        <v>0.65</v>
      </c>
    </row>
    <row r="34" spans="1:15">
      <c r="A34" s="3"/>
      <c r="F34" s="8" t="s">
        <v>607</v>
      </c>
      <c r="G34" s="25">
        <v>0.7</v>
      </c>
      <c r="H34" s="16">
        <v>0.7</v>
      </c>
      <c r="I34" s="3"/>
      <c r="J34" s="3"/>
      <c r="K34" s="8" t="s">
        <v>607</v>
      </c>
      <c r="L34" s="25">
        <v>0.7</v>
      </c>
      <c r="M34" s="15">
        <v>0.65</v>
      </c>
      <c r="N34" s="15">
        <v>0.7</v>
      </c>
      <c r="O34" s="16">
        <v>0.65</v>
      </c>
    </row>
    <row r="35" spans="1:15">
      <c r="A35" s="3"/>
      <c r="F35" s="8" t="s">
        <v>608</v>
      </c>
      <c r="G35" s="25">
        <v>0.7</v>
      </c>
      <c r="H35" s="16">
        <v>0.7</v>
      </c>
      <c r="I35" s="3"/>
      <c r="J35" s="3"/>
      <c r="K35" s="8" t="s">
        <v>608</v>
      </c>
      <c r="L35" s="25">
        <v>0.7</v>
      </c>
      <c r="M35" s="15">
        <v>0.65</v>
      </c>
      <c r="N35" s="15">
        <v>0.7</v>
      </c>
      <c r="O35" s="16">
        <v>0.65</v>
      </c>
    </row>
    <row r="36" spans="1:15">
      <c r="A36" s="3"/>
      <c r="F36" s="8" t="s">
        <v>609</v>
      </c>
      <c r="G36" s="25">
        <v>0.7</v>
      </c>
      <c r="H36" s="16">
        <v>0.7</v>
      </c>
      <c r="I36" s="3"/>
      <c r="J36" s="3"/>
      <c r="K36" s="8" t="s">
        <v>609</v>
      </c>
      <c r="L36" s="25">
        <v>0.7</v>
      </c>
      <c r="M36" s="15">
        <v>0.65</v>
      </c>
      <c r="N36" s="15">
        <v>0.7</v>
      </c>
      <c r="O36" s="16">
        <v>0.65</v>
      </c>
    </row>
    <row r="37" spans="1:15">
      <c r="A37" s="3"/>
      <c r="F37" s="8" t="s">
        <v>610</v>
      </c>
      <c r="G37" s="25">
        <v>0.7</v>
      </c>
      <c r="H37" s="16">
        <v>0.7</v>
      </c>
      <c r="I37" s="3"/>
      <c r="J37" s="3"/>
      <c r="K37" s="8" t="s">
        <v>610</v>
      </c>
      <c r="L37" s="25">
        <v>0.7</v>
      </c>
      <c r="M37" s="15">
        <v>0.65</v>
      </c>
      <c r="N37" s="15">
        <v>0.7</v>
      </c>
      <c r="O37" s="16">
        <v>0.65</v>
      </c>
    </row>
    <row r="38" spans="1:15">
      <c r="A38" s="3"/>
      <c r="F38" s="8" t="s">
        <v>611</v>
      </c>
      <c r="G38" s="25">
        <v>0.7</v>
      </c>
      <c r="H38" s="16">
        <v>0.7</v>
      </c>
      <c r="I38" s="3"/>
      <c r="J38" s="3"/>
      <c r="K38" s="8" t="s">
        <v>611</v>
      </c>
      <c r="L38" s="25">
        <v>0.7</v>
      </c>
      <c r="M38" s="15">
        <v>0.65</v>
      </c>
      <c r="N38" s="15">
        <v>0.7</v>
      </c>
      <c r="O38" s="16">
        <v>0.65</v>
      </c>
    </row>
    <row r="39" spans="1:15">
      <c r="A39" s="3"/>
      <c r="F39" s="8" t="s">
        <v>612</v>
      </c>
      <c r="G39" s="25">
        <v>0.7</v>
      </c>
      <c r="H39" s="16">
        <v>0.7</v>
      </c>
      <c r="I39" s="3"/>
      <c r="J39" s="3"/>
      <c r="K39" s="8" t="s">
        <v>612</v>
      </c>
      <c r="L39" s="25">
        <v>0.7</v>
      </c>
      <c r="M39" s="15">
        <v>0.65</v>
      </c>
      <c r="N39" s="15">
        <v>0.7</v>
      </c>
      <c r="O39" s="16">
        <v>0.65</v>
      </c>
    </row>
    <row r="40" spans="1:15">
      <c r="A40" s="3"/>
      <c r="F40" s="8" t="s">
        <v>613</v>
      </c>
      <c r="G40" s="25">
        <v>0.7</v>
      </c>
      <c r="H40" s="16">
        <v>0.7</v>
      </c>
      <c r="I40" s="3"/>
      <c r="J40" s="3"/>
      <c r="K40" s="8" t="s">
        <v>613</v>
      </c>
      <c r="L40" s="25">
        <v>0.7</v>
      </c>
      <c r="M40" s="15">
        <v>0.65</v>
      </c>
      <c r="N40" s="15">
        <v>0.7</v>
      </c>
      <c r="O40" s="16">
        <v>0.65</v>
      </c>
    </row>
    <row r="41" spans="1:15">
      <c r="A41" s="3"/>
      <c r="F41" s="8" t="s">
        <v>614</v>
      </c>
      <c r="G41" s="25">
        <v>0.7</v>
      </c>
      <c r="H41" s="16">
        <v>0.7</v>
      </c>
      <c r="I41" s="3"/>
      <c r="J41" s="3"/>
      <c r="K41" s="8" t="s">
        <v>614</v>
      </c>
      <c r="L41" s="25">
        <v>0.7</v>
      </c>
      <c r="M41" s="15">
        <v>0.65</v>
      </c>
      <c r="N41" s="15">
        <v>0.7</v>
      </c>
      <c r="O41" s="16">
        <v>0.65</v>
      </c>
    </row>
    <row r="42" spans="1:15">
      <c r="A42" s="3"/>
      <c r="F42" s="8" t="s">
        <v>615</v>
      </c>
      <c r="G42" s="25">
        <v>0.7</v>
      </c>
      <c r="H42" s="16">
        <v>0.7</v>
      </c>
      <c r="I42" s="3"/>
      <c r="J42" s="3"/>
      <c r="K42" s="8" t="s">
        <v>615</v>
      </c>
      <c r="L42" s="25">
        <v>0.7</v>
      </c>
      <c r="M42" s="15">
        <v>0.65</v>
      </c>
      <c r="N42" s="15">
        <v>0.7</v>
      </c>
      <c r="O42" s="16">
        <v>0.65</v>
      </c>
    </row>
    <row r="43" spans="1:15">
      <c r="A43" s="3"/>
      <c r="F43" s="8" t="s">
        <v>616</v>
      </c>
      <c r="G43" s="25">
        <v>0.7</v>
      </c>
      <c r="H43" s="16">
        <v>0.7</v>
      </c>
      <c r="I43" s="3"/>
      <c r="J43" s="3"/>
      <c r="K43" s="8" t="s">
        <v>616</v>
      </c>
      <c r="L43" s="25">
        <v>0.7</v>
      </c>
      <c r="M43" s="15">
        <v>0.65</v>
      </c>
      <c r="N43" s="15">
        <v>0.7</v>
      </c>
      <c r="O43" s="16">
        <v>0.65</v>
      </c>
    </row>
    <row r="44" spans="1:15">
      <c r="A44" s="3"/>
      <c r="F44" s="8" t="s">
        <v>617</v>
      </c>
      <c r="G44" s="25">
        <v>0.7</v>
      </c>
      <c r="H44" s="16">
        <v>0.7</v>
      </c>
      <c r="I44" s="3"/>
      <c r="J44" s="3"/>
      <c r="K44" s="8" t="s">
        <v>617</v>
      </c>
      <c r="L44" s="25">
        <v>0.7</v>
      </c>
      <c r="M44" s="15">
        <v>0.65</v>
      </c>
      <c r="N44" s="15">
        <v>0.7</v>
      </c>
      <c r="O44" s="16">
        <v>0.65</v>
      </c>
    </row>
    <row r="45" spans="1:15">
      <c r="A45" s="3"/>
      <c r="F45" s="8" t="s">
        <v>618</v>
      </c>
      <c r="G45" s="25">
        <v>0.7</v>
      </c>
      <c r="H45" s="16">
        <v>0.7</v>
      </c>
      <c r="I45" s="3"/>
      <c r="J45" s="3"/>
      <c r="K45" s="8" t="s">
        <v>618</v>
      </c>
      <c r="L45" s="25">
        <v>0.7</v>
      </c>
      <c r="M45" s="15">
        <v>0.65</v>
      </c>
      <c r="N45" s="15">
        <v>0.7</v>
      </c>
      <c r="O45" s="16">
        <v>0.65</v>
      </c>
    </row>
    <row r="46" spans="1:15">
      <c r="A46" s="3"/>
      <c r="F46" s="8" t="s">
        <v>619</v>
      </c>
      <c r="G46" s="25">
        <v>0.7</v>
      </c>
      <c r="H46" s="16">
        <v>0.7</v>
      </c>
      <c r="I46" s="3"/>
      <c r="J46" s="3"/>
      <c r="K46" s="8" t="s">
        <v>619</v>
      </c>
      <c r="L46" s="25">
        <v>0.7</v>
      </c>
      <c r="M46" s="15">
        <v>0.65</v>
      </c>
      <c r="N46" s="15">
        <v>0.7</v>
      </c>
      <c r="O46" s="16">
        <v>0.65</v>
      </c>
    </row>
    <row r="47" spans="1:15">
      <c r="A47" s="3"/>
      <c r="F47" s="8" t="s">
        <v>620</v>
      </c>
      <c r="G47" s="25">
        <v>0.7</v>
      </c>
      <c r="H47" s="16">
        <v>0.7</v>
      </c>
      <c r="I47" s="3"/>
      <c r="J47" s="3"/>
      <c r="K47" s="8" t="s">
        <v>620</v>
      </c>
      <c r="L47" s="25">
        <v>0.7</v>
      </c>
      <c r="M47" s="15">
        <v>0.65</v>
      </c>
      <c r="N47" s="15">
        <v>0.7</v>
      </c>
      <c r="O47" s="16">
        <v>0.65</v>
      </c>
    </row>
    <row r="48" spans="1:15">
      <c r="A48" s="3"/>
      <c r="F48" s="8" t="s">
        <v>621</v>
      </c>
      <c r="G48" s="25">
        <v>0.7</v>
      </c>
      <c r="H48" s="16">
        <v>0.7</v>
      </c>
      <c r="I48" s="3"/>
      <c r="J48" s="3"/>
      <c r="K48" s="8" t="s">
        <v>621</v>
      </c>
      <c r="L48" s="25">
        <v>0.7</v>
      </c>
      <c r="M48" s="15">
        <v>0.65</v>
      </c>
      <c r="N48" s="15">
        <v>0.7</v>
      </c>
      <c r="O48" s="16">
        <v>0.65</v>
      </c>
    </row>
    <row r="49" spans="1:15">
      <c r="A49" s="3"/>
      <c r="F49" s="8" t="s">
        <v>622</v>
      </c>
      <c r="G49" s="25">
        <v>0.7</v>
      </c>
      <c r="H49" s="16">
        <v>0.7</v>
      </c>
      <c r="I49" s="3"/>
      <c r="J49" s="3"/>
      <c r="K49" s="8" t="s">
        <v>622</v>
      </c>
      <c r="L49" s="25">
        <v>0.7</v>
      </c>
      <c r="M49" s="15">
        <v>0.65</v>
      </c>
      <c r="N49" s="15">
        <v>0.7</v>
      </c>
      <c r="O49" s="16">
        <v>0.65</v>
      </c>
    </row>
    <row r="50" spans="1:15">
      <c r="A50" s="3"/>
      <c r="F50" s="8" t="s">
        <v>623</v>
      </c>
      <c r="G50" s="25">
        <v>0.7</v>
      </c>
      <c r="H50" s="16">
        <v>0.7</v>
      </c>
      <c r="I50" s="3"/>
      <c r="J50" s="3"/>
      <c r="K50" s="8" t="s">
        <v>623</v>
      </c>
      <c r="L50" s="25">
        <v>0.7</v>
      </c>
      <c r="M50" s="15">
        <v>0.65</v>
      </c>
      <c r="N50" s="15">
        <v>0.7</v>
      </c>
      <c r="O50" s="16">
        <v>0.65</v>
      </c>
    </row>
    <row r="51" spans="1:15">
      <c r="A51" s="3"/>
      <c r="F51" s="8" t="s">
        <v>624</v>
      </c>
      <c r="G51" s="25">
        <v>0.7</v>
      </c>
      <c r="H51" s="16">
        <v>0.7</v>
      </c>
      <c r="I51" s="3"/>
      <c r="J51" s="3"/>
      <c r="K51" s="8" t="s">
        <v>624</v>
      </c>
      <c r="L51" s="25">
        <v>0.7</v>
      </c>
      <c r="M51" s="15">
        <v>0.65</v>
      </c>
      <c r="N51" s="15">
        <v>0.7</v>
      </c>
      <c r="O51" s="16">
        <v>0.65</v>
      </c>
    </row>
    <row r="52" spans="1:15">
      <c r="A52" s="3"/>
      <c r="F52" s="8" t="s">
        <v>625</v>
      </c>
      <c r="G52" s="25">
        <v>0.7</v>
      </c>
      <c r="H52" s="16">
        <v>0.7</v>
      </c>
      <c r="I52" s="3"/>
      <c r="J52" s="3"/>
      <c r="K52" s="8" t="s">
        <v>625</v>
      </c>
      <c r="L52" s="25">
        <v>0.7</v>
      </c>
      <c r="M52" s="15">
        <v>0.65</v>
      </c>
      <c r="N52" s="15">
        <v>0.7</v>
      </c>
      <c r="O52" s="16">
        <v>0.65</v>
      </c>
    </row>
    <row r="53" spans="1:15">
      <c r="A53" s="3"/>
      <c r="F53" s="8" t="s">
        <v>626</v>
      </c>
      <c r="G53" s="25">
        <v>0.7</v>
      </c>
      <c r="H53" s="16">
        <v>0.7</v>
      </c>
      <c r="I53" s="3"/>
      <c r="J53" s="3"/>
      <c r="K53" s="8" t="s">
        <v>626</v>
      </c>
      <c r="L53" s="25">
        <v>0.7</v>
      </c>
      <c r="M53" s="15">
        <v>0.65</v>
      </c>
      <c r="N53" s="15">
        <v>0.7</v>
      </c>
      <c r="O53" s="16">
        <v>0.65</v>
      </c>
    </row>
    <row r="54" spans="1:15">
      <c r="A54" s="3"/>
      <c r="F54" s="8" t="s">
        <v>627</v>
      </c>
      <c r="G54" s="25">
        <v>0.7</v>
      </c>
      <c r="H54" s="16">
        <v>0.7</v>
      </c>
      <c r="I54" s="3"/>
      <c r="J54" s="3"/>
      <c r="K54" s="8" t="s">
        <v>627</v>
      </c>
      <c r="L54" s="25">
        <v>0.7</v>
      </c>
      <c r="M54" s="15">
        <v>0.65</v>
      </c>
      <c r="N54" s="15">
        <v>0.7</v>
      </c>
      <c r="O54" s="16">
        <v>0.65</v>
      </c>
    </row>
    <row r="55" spans="1:15">
      <c r="A55" s="3"/>
      <c r="F55" s="8" t="s">
        <v>628</v>
      </c>
      <c r="G55" s="25">
        <v>0.7</v>
      </c>
      <c r="H55" s="16">
        <v>0.7</v>
      </c>
      <c r="I55" s="3"/>
      <c r="J55" s="3"/>
      <c r="K55" s="8" t="s">
        <v>628</v>
      </c>
      <c r="L55" s="25">
        <v>0.7</v>
      </c>
      <c r="M55" s="15">
        <v>0.65</v>
      </c>
      <c r="N55" s="15">
        <v>0.7</v>
      </c>
      <c r="O55" s="16">
        <v>0.65</v>
      </c>
    </row>
    <row r="56" spans="1:15">
      <c r="A56" s="3"/>
      <c r="F56" s="8" t="s">
        <v>629</v>
      </c>
      <c r="G56" s="25">
        <v>0.7</v>
      </c>
      <c r="H56" s="16">
        <v>0.7</v>
      </c>
      <c r="I56" s="3"/>
      <c r="J56" s="3"/>
      <c r="K56" s="8" t="s">
        <v>629</v>
      </c>
      <c r="L56" s="25">
        <v>0.7</v>
      </c>
      <c r="M56" s="15">
        <v>0.65</v>
      </c>
      <c r="N56" s="15">
        <v>0.7</v>
      </c>
      <c r="O56" s="16">
        <v>0.65</v>
      </c>
    </row>
    <row r="57" spans="1:15">
      <c r="A57" s="3"/>
      <c r="F57" s="8" t="s">
        <v>630</v>
      </c>
      <c r="G57" s="25">
        <v>0.7</v>
      </c>
      <c r="H57" s="16">
        <v>0.7</v>
      </c>
      <c r="I57" s="3"/>
      <c r="J57" s="3"/>
      <c r="K57" s="8" t="s">
        <v>630</v>
      </c>
      <c r="L57" s="25">
        <v>0.7</v>
      </c>
      <c r="M57" s="15">
        <v>0.65</v>
      </c>
      <c r="N57" s="15">
        <v>0.7</v>
      </c>
      <c r="O57" s="16">
        <v>0.65</v>
      </c>
    </row>
    <row r="58" spans="1:15">
      <c r="A58" s="3"/>
      <c r="F58" s="8" t="s">
        <v>631</v>
      </c>
      <c r="G58" s="25">
        <v>0.7</v>
      </c>
      <c r="H58" s="16">
        <v>0.7</v>
      </c>
      <c r="I58" s="3"/>
      <c r="J58" s="3"/>
      <c r="K58" s="8" t="s">
        <v>631</v>
      </c>
      <c r="L58" s="25">
        <v>0.7</v>
      </c>
      <c r="M58" s="15">
        <v>0.65</v>
      </c>
      <c r="N58" s="15">
        <v>0.7</v>
      </c>
      <c r="O58" s="16">
        <v>0.65</v>
      </c>
    </row>
    <row r="59" spans="1:15">
      <c r="A59" s="3"/>
      <c r="F59" s="8" t="s">
        <v>632</v>
      </c>
      <c r="G59" s="25">
        <v>0.7</v>
      </c>
      <c r="H59" s="16">
        <v>0.7</v>
      </c>
      <c r="I59" s="3"/>
      <c r="J59" s="3"/>
      <c r="K59" s="8" t="s">
        <v>632</v>
      </c>
      <c r="L59" s="25">
        <v>0.7</v>
      </c>
      <c r="M59" s="15">
        <v>0.65</v>
      </c>
      <c r="N59" s="15">
        <v>0.7</v>
      </c>
      <c r="O59" s="16">
        <v>0.65</v>
      </c>
    </row>
    <row r="60" spans="1:15">
      <c r="A60" s="3"/>
      <c r="F60" s="8" t="s">
        <v>633</v>
      </c>
      <c r="G60" s="25">
        <v>0.7</v>
      </c>
      <c r="H60" s="16">
        <v>0.7</v>
      </c>
      <c r="I60" s="3"/>
      <c r="J60" s="3"/>
      <c r="K60" s="8" t="s">
        <v>633</v>
      </c>
      <c r="L60" s="25">
        <v>0.7</v>
      </c>
      <c r="M60" s="15">
        <v>0.65</v>
      </c>
      <c r="N60" s="15">
        <v>0.7</v>
      </c>
      <c r="O60" s="16">
        <v>0.65</v>
      </c>
    </row>
    <row r="61" spans="1:15">
      <c r="A61" s="3"/>
      <c r="F61" s="8" t="s">
        <v>634</v>
      </c>
      <c r="G61" s="25">
        <v>0.7</v>
      </c>
      <c r="H61" s="16">
        <v>0.7</v>
      </c>
      <c r="I61" s="3"/>
      <c r="J61" s="3"/>
      <c r="K61" s="8" t="s">
        <v>634</v>
      </c>
      <c r="L61" s="25">
        <v>0.7</v>
      </c>
      <c r="M61" s="15">
        <v>0.65</v>
      </c>
      <c r="N61" s="15">
        <v>0.7</v>
      </c>
      <c r="O61" s="16">
        <v>0.65</v>
      </c>
    </row>
    <row r="62" spans="1:15">
      <c r="A62" s="3"/>
      <c r="F62" s="8" t="s">
        <v>635</v>
      </c>
      <c r="G62" s="25">
        <v>0.7</v>
      </c>
      <c r="H62" s="16">
        <v>0.7</v>
      </c>
      <c r="I62" s="3"/>
      <c r="J62" s="3"/>
      <c r="K62" s="8" t="s">
        <v>635</v>
      </c>
      <c r="L62" s="25">
        <v>0.7</v>
      </c>
      <c r="M62" s="15">
        <v>0.65</v>
      </c>
      <c r="N62" s="15">
        <v>0.7</v>
      </c>
      <c r="O62" s="16">
        <v>0.65</v>
      </c>
    </row>
    <row r="63" spans="1:15">
      <c r="A63" s="3"/>
      <c r="F63" s="8" t="s">
        <v>636</v>
      </c>
      <c r="G63" s="25">
        <v>0.7</v>
      </c>
      <c r="H63" s="16">
        <v>0.7</v>
      </c>
      <c r="I63" s="3"/>
      <c r="J63" s="3"/>
      <c r="K63" s="8" t="s">
        <v>636</v>
      </c>
      <c r="L63" s="25">
        <v>0.7</v>
      </c>
      <c r="M63" s="15">
        <v>0.65</v>
      </c>
      <c r="N63" s="15">
        <v>0.7</v>
      </c>
      <c r="O63" s="16">
        <v>0.65</v>
      </c>
    </row>
    <row r="64" spans="1:15">
      <c r="A64" s="3"/>
      <c r="F64" s="8" t="s">
        <v>637</v>
      </c>
      <c r="G64" s="25">
        <v>0.7</v>
      </c>
      <c r="H64" s="16">
        <v>0.7</v>
      </c>
      <c r="I64" s="3"/>
      <c r="J64" s="3"/>
      <c r="K64" s="8" t="s">
        <v>637</v>
      </c>
      <c r="L64" s="25">
        <v>0.7</v>
      </c>
      <c r="M64" s="15">
        <v>0.65</v>
      </c>
      <c r="N64" s="15">
        <v>0.7</v>
      </c>
      <c r="O64" s="16">
        <v>0.65</v>
      </c>
    </row>
    <row r="65" spans="1:15">
      <c r="A65" s="3"/>
      <c r="F65" s="8" t="s">
        <v>638</v>
      </c>
      <c r="G65" s="25">
        <v>0.7</v>
      </c>
      <c r="H65" s="16">
        <v>0.7</v>
      </c>
      <c r="I65" s="3"/>
      <c r="J65" s="3"/>
      <c r="K65" s="8" t="s">
        <v>638</v>
      </c>
      <c r="L65" s="25">
        <v>0.7</v>
      </c>
      <c r="M65" s="15">
        <v>0.65</v>
      </c>
      <c r="N65" s="15">
        <v>0.7</v>
      </c>
      <c r="O65" s="16">
        <v>0.65</v>
      </c>
    </row>
    <row r="66" spans="1:15">
      <c r="A66" s="3"/>
      <c r="F66" s="8" t="s">
        <v>639</v>
      </c>
      <c r="G66" s="25">
        <v>0.7</v>
      </c>
      <c r="H66" s="16">
        <v>0.7</v>
      </c>
      <c r="I66" s="3"/>
      <c r="J66" s="3"/>
      <c r="K66" s="8" t="s">
        <v>639</v>
      </c>
      <c r="L66" s="25">
        <v>0.7</v>
      </c>
      <c r="M66" s="15">
        <v>0.65</v>
      </c>
      <c r="N66" s="15">
        <v>0.7</v>
      </c>
      <c r="O66" s="16">
        <v>0.65</v>
      </c>
    </row>
    <row r="67" spans="1:15">
      <c r="A67" s="3"/>
      <c r="F67" s="8" t="s">
        <v>640</v>
      </c>
      <c r="G67" s="25">
        <v>0.7</v>
      </c>
      <c r="H67" s="16">
        <v>0.7</v>
      </c>
      <c r="I67" s="3"/>
      <c r="J67" s="3"/>
      <c r="K67" s="8" t="s">
        <v>640</v>
      </c>
      <c r="L67" s="25">
        <v>0.7</v>
      </c>
      <c r="M67" s="15">
        <v>0.65</v>
      </c>
      <c r="N67" s="15">
        <v>0.7</v>
      </c>
      <c r="O67" s="16">
        <v>0.65</v>
      </c>
    </row>
    <row r="68" spans="1:15">
      <c r="A68" s="3"/>
      <c r="F68" s="8" t="s">
        <v>641</v>
      </c>
      <c r="G68" s="25">
        <v>0.7</v>
      </c>
      <c r="H68" s="16">
        <v>0.7</v>
      </c>
      <c r="I68" s="3"/>
      <c r="J68" s="3"/>
      <c r="K68" s="8" t="s">
        <v>641</v>
      </c>
      <c r="L68" s="25">
        <v>0.7</v>
      </c>
      <c r="M68" s="15">
        <v>0.65</v>
      </c>
      <c r="N68" s="15">
        <v>0.7</v>
      </c>
      <c r="O68" s="16">
        <v>0.65</v>
      </c>
    </row>
    <row r="69" spans="1:15">
      <c r="A69" s="3"/>
      <c r="F69" s="8" t="s">
        <v>642</v>
      </c>
      <c r="G69" s="25">
        <v>0.7</v>
      </c>
      <c r="H69" s="16">
        <v>0.7</v>
      </c>
      <c r="I69" s="3"/>
      <c r="J69" s="3"/>
      <c r="K69" s="8" t="s">
        <v>642</v>
      </c>
      <c r="L69" s="25">
        <v>0.7</v>
      </c>
      <c r="M69" s="15">
        <v>0.65</v>
      </c>
      <c r="N69" s="15">
        <v>0.7</v>
      </c>
      <c r="O69" s="16">
        <v>0.65</v>
      </c>
    </row>
    <row r="70" spans="1:15">
      <c r="A70" s="3"/>
      <c r="F70" s="8" t="s">
        <v>643</v>
      </c>
      <c r="G70" s="25">
        <v>0.7</v>
      </c>
      <c r="H70" s="16">
        <v>0.7</v>
      </c>
      <c r="I70" s="3"/>
      <c r="J70" s="3"/>
      <c r="K70" s="8" t="s">
        <v>643</v>
      </c>
      <c r="L70" s="25">
        <v>0.7</v>
      </c>
      <c r="M70" s="15">
        <v>0.65</v>
      </c>
      <c r="N70" s="15">
        <v>0.7</v>
      </c>
      <c r="O70" s="16">
        <v>0.65</v>
      </c>
    </row>
    <row r="71" spans="1:15">
      <c r="A71" s="3"/>
      <c r="F71" s="8" t="s">
        <v>644</v>
      </c>
      <c r="G71" s="25">
        <v>0.7</v>
      </c>
      <c r="H71" s="16">
        <v>0.7</v>
      </c>
      <c r="I71" s="3"/>
      <c r="J71" s="3"/>
      <c r="K71" s="8" t="s">
        <v>644</v>
      </c>
      <c r="L71" s="25">
        <v>0.7</v>
      </c>
      <c r="M71" s="15">
        <v>0.65</v>
      </c>
      <c r="N71" s="15">
        <v>0.7</v>
      </c>
      <c r="O71" s="16">
        <v>0.65</v>
      </c>
    </row>
    <row r="72" spans="1:15">
      <c r="A72" s="3"/>
      <c r="F72" s="8" t="s">
        <v>645</v>
      </c>
      <c r="G72" s="25">
        <v>0.7</v>
      </c>
      <c r="H72" s="16">
        <v>0.7</v>
      </c>
      <c r="I72" s="3"/>
      <c r="J72" s="3"/>
      <c r="K72" s="8" t="s">
        <v>645</v>
      </c>
      <c r="L72" s="25">
        <v>0.7</v>
      </c>
      <c r="M72" s="15">
        <v>0.65</v>
      </c>
      <c r="N72" s="15">
        <v>0.7</v>
      </c>
      <c r="O72" s="16">
        <v>0.65</v>
      </c>
    </row>
    <row r="73" spans="1:15">
      <c r="A73" s="3"/>
      <c r="F73" s="8" t="s">
        <v>646</v>
      </c>
      <c r="G73" s="25">
        <v>0.7</v>
      </c>
      <c r="H73" s="16">
        <v>0.7</v>
      </c>
      <c r="I73" s="3"/>
      <c r="J73" s="3"/>
      <c r="K73" s="8" t="s">
        <v>646</v>
      </c>
      <c r="L73" s="25">
        <v>0.7</v>
      </c>
      <c r="M73" s="15">
        <v>0.65</v>
      </c>
      <c r="N73" s="15">
        <v>0.7</v>
      </c>
      <c r="O73" s="16">
        <v>0.65</v>
      </c>
    </row>
    <row r="74" spans="1:15">
      <c r="A74" s="3"/>
      <c r="F74" s="8" t="s">
        <v>647</v>
      </c>
      <c r="G74" s="25">
        <v>0.7</v>
      </c>
      <c r="H74" s="16">
        <v>0.7</v>
      </c>
      <c r="I74" s="3"/>
      <c r="J74" s="3"/>
      <c r="K74" s="8" t="s">
        <v>647</v>
      </c>
      <c r="L74" s="25">
        <v>0.7</v>
      </c>
      <c r="M74" s="15">
        <v>0.65</v>
      </c>
      <c r="N74" s="15">
        <v>0.7</v>
      </c>
      <c r="O74" s="16">
        <v>0.65</v>
      </c>
    </row>
    <row r="75" spans="1:15">
      <c r="A75" s="3"/>
      <c r="F75" s="8" t="s">
        <v>648</v>
      </c>
      <c r="G75" s="25">
        <v>0.7</v>
      </c>
      <c r="H75" s="16">
        <v>0.7</v>
      </c>
      <c r="I75" s="3"/>
      <c r="J75" s="3"/>
      <c r="K75" s="8" t="s">
        <v>648</v>
      </c>
      <c r="L75" s="25">
        <v>0.7</v>
      </c>
      <c r="M75" s="15">
        <v>0.65</v>
      </c>
      <c r="N75" s="15">
        <v>0.7</v>
      </c>
      <c r="O75" s="16">
        <v>0.65</v>
      </c>
    </row>
    <row r="76" spans="1:15">
      <c r="A76" s="3"/>
      <c r="F76" s="8" t="s">
        <v>649</v>
      </c>
      <c r="G76" s="25">
        <v>0.7</v>
      </c>
      <c r="H76" s="16">
        <v>0.7</v>
      </c>
      <c r="I76" s="3"/>
      <c r="J76" s="3"/>
      <c r="K76" s="8" t="s">
        <v>649</v>
      </c>
      <c r="L76" s="25">
        <v>0.7</v>
      </c>
      <c r="M76" s="15">
        <v>0.65</v>
      </c>
      <c r="N76" s="15">
        <v>0.7</v>
      </c>
      <c r="O76" s="16">
        <v>0.65</v>
      </c>
    </row>
    <row r="77" spans="1:15">
      <c r="A77" s="3"/>
      <c r="F77" s="8" t="s">
        <v>650</v>
      </c>
      <c r="G77" s="25">
        <v>0.7</v>
      </c>
      <c r="H77" s="16">
        <v>0.7</v>
      </c>
      <c r="I77" s="3"/>
      <c r="J77" s="3"/>
      <c r="K77" s="8" t="s">
        <v>650</v>
      </c>
      <c r="L77" s="25">
        <v>0.7</v>
      </c>
      <c r="M77" s="15">
        <v>0.65</v>
      </c>
      <c r="N77" s="15">
        <v>0.7</v>
      </c>
      <c r="O77" s="16">
        <v>0.65</v>
      </c>
    </row>
    <row r="78" spans="1:15">
      <c r="A78" s="3"/>
      <c r="F78" s="8" t="s">
        <v>651</v>
      </c>
      <c r="G78" s="25">
        <v>0.7</v>
      </c>
      <c r="H78" s="16">
        <v>0.7</v>
      </c>
      <c r="I78" s="3"/>
      <c r="J78" s="3"/>
      <c r="K78" s="8" t="s">
        <v>651</v>
      </c>
      <c r="L78" s="25">
        <v>0.7</v>
      </c>
      <c r="M78" s="15">
        <v>0.65</v>
      </c>
      <c r="N78" s="15">
        <v>0.7</v>
      </c>
      <c r="O78" s="16">
        <v>0.65</v>
      </c>
    </row>
    <row r="79" spans="1:15">
      <c r="A79" s="3"/>
      <c r="F79" s="8" t="s">
        <v>652</v>
      </c>
      <c r="G79" s="25">
        <v>0.7</v>
      </c>
      <c r="H79" s="16">
        <v>0.7</v>
      </c>
      <c r="I79" s="3"/>
      <c r="J79" s="3"/>
      <c r="K79" s="8" t="s">
        <v>652</v>
      </c>
      <c r="L79" s="25">
        <v>0.7</v>
      </c>
      <c r="M79" s="15">
        <v>0.65</v>
      </c>
      <c r="N79" s="15">
        <v>0.7</v>
      </c>
      <c r="O79" s="16">
        <v>0.65</v>
      </c>
    </row>
    <row r="80" spans="1:15">
      <c r="A80" s="3"/>
      <c r="F80" s="8" t="s">
        <v>653</v>
      </c>
      <c r="G80" s="25">
        <v>0.7</v>
      </c>
      <c r="H80" s="16">
        <v>0.7</v>
      </c>
      <c r="I80" s="3"/>
      <c r="J80" s="3"/>
      <c r="K80" s="8" t="s">
        <v>653</v>
      </c>
      <c r="L80" s="25">
        <v>0.7</v>
      </c>
      <c r="M80" s="15">
        <v>0.65</v>
      </c>
      <c r="N80" s="15">
        <v>0.7</v>
      </c>
      <c r="O80" s="16">
        <v>0.65</v>
      </c>
    </row>
    <row r="81" spans="1:15">
      <c r="A81" s="3"/>
      <c r="F81" s="8" t="s">
        <v>654</v>
      </c>
      <c r="G81" s="25">
        <v>0.7</v>
      </c>
      <c r="H81" s="16">
        <v>0.7</v>
      </c>
      <c r="I81" s="3"/>
      <c r="J81" s="3"/>
      <c r="K81" s="8" t="s">
        <v>654</v>
      </c>
      <c r="L81" s="25">
        <v>0.7</v>
      </c>
      <c r="M81" s="15">
        <v>0.65</v>
      </c>
      <c r="N81" s="15">
        <v>0.7</v>
      </c>
      <c r="O81" s="16">
        <v>0.65</v>
      </c>
    </row>
    <row r="82" spans="1:15">
      <c r="A82" s="3"/>
      <c r="F82" s="8" t="s">
        <v>655</v>
      </c>
      <c r="G82" s="25">
        <v>0.7</v>
      </c>
      <c r="H82" s="16">
        <v>0.7</v>
      </c>
      <c r="I82" s="3"/>
      <c r="J82" s="3"/>
      <c r="K82" s="8" t="s">
        <v>655</v>
      </c>
      <c r="L82" s="25">
        <v>0.7</v>
      </c>
      <c r="M82" s="15">
        <v>0.65</v>
      </c>
      <c r="N82" s="15">
        <v>0.7</v>
      </c>
      <c r="O82" s="16">
        <v>0.65</v>
      </c>
    </row>
    <row r="83" spans="1:15">
      <c r="A83" s="3"/>
      <c r="F83" s="8" t="s">
        <v>656</v>
      </c>
      <c r="G83" s="25">
        <v>0.7</v>
      </c>
      <c r="H83" s="16">
        <v>0.7</v>
      </c>
      <c r="I83" s="3"/>
      <c r="J83" s="3"/>
      <c r="K83" s="8" t="s">
        <v>656</v>
      </c>
      <c r="L83" s="25">
        <v>0.7</v>
      </c>
      <c r="M83" s="15">
        <v>0.65</v>
      </c>
      <c r="N83" s="15">
        <v>0.7</v>
      </c>
      <c r="O83" s="16">
        <v>0.65</v>
      </c>
    </row>
    <row r="84" spans="1:15">
      <c r="A84" s="3"/>
      <c r="F84" s="8" t="s">
        <v>657</v>
      </c>
      <c r="G84" s="25">
        <v>0.7</v>
      </c>
      <c r="H84" s="16">
        <v>0.7</v>
      </c>
      <c r="I84" s="3"/>
      <c r="J84" s="3"/>
      <c r="K84" s="8" t="s">
        <v>657</v>
      </c>
      <c r="L84" s="25">
        <v>0.7</v>
      </c>
      <c r="M84" s="15">
        <v>0.65</v>
      </c>
      <c r="N84" s="15">
        <v>0.7</v>
      </c>
      <c r="O84" s="16">
        <v>0.65</v>
      </c>
    </row>
    <row r="85" spans="1:15">
      <c r="A85" s="3"/>
      <c r="F85" s="8" t="s">
        <v>658</v>
      </c>
      <c r="G85" s="25">
        <v>0.7</v>
      </c>
      <c r="H85" s="16">
        <v>0.7</v>
      </c>
      <c r="I85" s="3"/>
      <c r="J85" s="3"/>
      <c r="K85" s="8" t="s">
        <v>658</v>
      </c>
      <c r="L85" s="25">
        <v>0.7</v>
      </c>
      <c r="M85" s="15">
        <v>0.65</v>
      </c>
      <c r="N85" s="15">
        <v>0.7</v>
      </c>
      <c r="O85" s="16">
        <v>0.65</v>
      </c>
    </row>
    <row r="86" spans="1:15">
      <c r="A86" s="3"/>
      <c r="F86" s="8" t="s">
        <v>659</v>
      </c>
      <c r="G86" s="25">
        <v>0.7</v>
      </c>
      <c r="H86" s="16">
        <v>0.7</v>
      </c>
      <c r="I86" s="3"/>
      <c r="J86" s="3"/>
      <c r="K86" s="8" t="s">
        <v>659</v>
      </c>
      <c r="L86" s="25">
        <v>0.7</v>
      </c>
      <c r="M86" s="15">
        <v>0.65</v>
      </c>
      <c r="N86" s="15">
        <v>0.7</v>
      </c>
      <c r="O86" s="16">
        <v>0.65</v>
      </c>
    </row>
    <row r="87" spans="1:15">
      <c r="A87" s="3"/>
      <c r="F87" s="8" t="s">
        <v>660</v>
      </c>
      <c r="G87" s="25">
        <v>0.7</v>
      </c>
      <c r="H87" s="16">
        <v>0.7</v>
      </c>
      <c r="I87" s="3"/>
      <c r="J87" s="3"/>
      <c r="K87" s="8" t="s">
        <v>660</v>
      </c>
      <c r="L87" s="25">
        <v>0.7</v>
      </c>
      <c r="M87" s="15">
        <v>0.65</v>
      </c>
      <c r="N87" s="15">
        <v>0.7</v>
      </c>
      <c r="O87" s="16">
        <v>0.65</v>
      </c>
    </row>
    <row r="88" spans="1:15">
      <c r="A88" s="3"/>
      <c r="F88" s="8" t="s">
        <v>661</v>
      </c>
      <c r="G88" s="25">
        <v>0.7</v>
      </c>
      <c r="H88" s="16">
        <v>0.7</v>
      </c>
      <c r="I88" s="3"/>
      <c r="J88" s="3"/>
      <c r="K88" s="8" t="s">
        <v>661</v>
      </c>
      <c r="L88" s="25">
        <v>0.7</v>
      </c>
      <c r="M88" s="15">
        <v>0.65</v>
      </c>
      <c r="N88" s="15">
        <v>0.7</v>
      </c>
      <c r="O88" s="16">
        <v>0.65</v>
      </c>
    </row>
    <row r="89" spans="1:15">
      <c r="A89" s="3"/>
      <c r="F89" s="8" t="s">
        <v>662</v>
      </c>
      <c r="G89" s="25">
        <v>0.7</v>
      </c>
      <c r="H89" s="16">
        <v>0.7</v>
      </c>
      <c r="I89" s="3"/>
      <c r="J89" s="3"/>
      <c r="K89" s="8" t="s">
        <v>662</v>
      </c>
      <c r="L89" s="25">
        <v>0.7</v>
      </c>
      <c r="M89" s="15">
        <v>0.65</v>
      </c>
      <c r="N89" s="15">
        <v>0.7</v>
      </c>
      <c r="O89" s="16">
        <v>0.65</v>
      </c>
    </row>
    <row r="90" spans="1:15">
      <c r="A90" s="3"/>
      <c r="F90" s="8" t="s">
        <v>663</v>
      </c>
      <c r="G90" s="25">
        <v>0.7</v>
      </c>
      <c r="H90" s="16">
        <v>0.7</v>
      </c>
      <c r="I90" s="3"/>
      <c r="J90" s="3"/>
      <c r="K90" s="8" t="s">
        <v>663</v>
      </c>
      <c r="L90" s="25">
        <v>0.7</v>
      </c>
      <c r="M90" s="15">
        <v>0.65</v>
      </c>
      <c r="N90" s="15">
        <v>0.7</v>
      </c>
      <c r="O90" s="16">
        <v>0.65</v>
      </c>
    </row>
    <row r="91" spans="1:15">
      <c r="A91" s="3"/>
      <c r="F91" s="8" t="s">
        <v>664</v>
      </c>
      <c r="G91" s="25">
        <v>0.7</v>
      </c>
      <c r="H91" s="16">
        <v>0.7</v>
      </c>
      <c r="I91" s="3"/>
      <c r="J91" s="3"/>
      <c r="K91" s="8" t="s">
        <v>664</v>
      </c>
      <c r="L91" s="25">
        <v>0.7</v>
      </c>
      <c r="M91" s="15">
        <v>0.65</v>
      </c>
      <c r="N91" s="15">
        <v>0.7</v>
      </c>
      <c r="O91" s="16">
        <v>0.65</v>
      </c>
    </row>
    <row r="92" spans="1:15">
      <c r="A92" s="3"/>
      <c r="F92" s="8" t="s">
        <v>665</v>
      </c>
      <c r="G92" s="25">
        <v>0.7</v>
      </c>
      <c r="H92" s="16">
        <v>0.7</v>
      </c>
      <c r="I92" s="3"/>
      <c r="J92" s="3"/>
      <c r="K92" s="8" t="s">
        <v>665</v>
      </c>
      <c r="L92" s="25">
        <v>0.7</v>
      </c>
      <c r="M92" s="15">
        <v>0.65</v>
      </c>
      <c r="N92" s="15">
        <v>0.7</v>
      </c>
      <c r="O92" s="16">
        <v>0.65</v>
      </c>
    </row>
    <row r="93" spans="1:15">
      <c r="A93" s="3"/>
      <c r="F93" s="8" t="s">
        <v>666</v>
      </c>
      <c r="G93" s="25">
        <v>0.7</v>
      </c>
      <c r="H93" s="16">
        <v>0.7</v>
      </c>
      <c r="I93" s="3"/>
      <c r="J93" s="3"/>
      <c r="K93" s="8" t="s">
        <v>666</v>
      </c>
      <c r="L93" s="25">
        <v>0.7</v>
      </c>
      <c r="M93" s="15">
        <v>0.65</v>
      </c>
      <c r="N93" s="15">
        <v>0.7</v>
      </c>
      <c r="O93" s="16">
        <v>0.65</v>
      </c>
    </row>
    <row r="94" spans="1:15" ht="14.25" thickBot="1">
      <c r="A94" s="3"/>
      <c r="F94" s="8" t="s">
        <v>667</v>
      </c>
      <c r="G94" s="26">
        <v>0.7</v>
      </c>
      <c r="H94" s="18">
        <v>0.7</v>
      </c>
      <c r="I94" s="3"/>
      <c r="J94" s="3"/>
      <c r="K94" s="8" t="s">
        <v>667</v>
      </c>
      <c r="L94" s="26">
        <v>0.7</v>
      </c>
      <c r="M94" s="17">
        <v>0.65</v>
      </c>
      <c r="N94" s="17">
        <v>0.7</v>
      </c>
      <c r="O94" s="18">
        <v>0.65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38"/>
  <sheetViews>
    <sheetView workbookViewId="0"/>
  </sheetViews>
  <sheetFormatPr defaultColWidth="10.7109375" defaultRowHeight="13.5"/>
  <cols>
    <col min="1" max="3" width="10.7109375" style="8"/>
    <col min="4" max="4" width="13.7109375" style="8" bestFit="1" customWidth="1"/>
    <col min="5" max="5" width="10.7109375" style="8"/>
    <col min="6" max="8" width="10.7109375" style="70"/>
    <col min="9" max="9" width="12.42578125" style="9" bestFit="1" customWidth="1"/>
    <col min="10" max="10" width="13.7109375" style="8" bestFit="1" customWidth="1"/>
    <col min="11" max="16384" width="10.7109375" style="8"/>
  </cols>
  <sheetData>
    <row r="1" spans="1:14" s="5" customFormat="1">
      <c r="D1" s="6"/>
      <c r="N1" s="7"/>
    </row>
    <row r="2" spans="1:14">
      <c r="A2" s="1"/>
      <c r="C2" s="1"/>
      <c r="D2" s="1"/>
    </row>
    <row r="3" spans="1:14" ht="14.25" thickBot="1">
      <c r="A3" s="2"/>
      <c r="E3" s="4"/>
      <c r="N3" s="3"/>
    </row>
    <row r="4" spans="1:14" ht="14.25" thickBot="1">
      <c r="A4" s="3"/>
      <c r="C4" s="3"/>
      <c r="D4" s="34"/>
      <c r="E4" s="35" t="s">
        <v>583</v>
      </c>
      <c r="N4" s="3"/>
    </row>
    <row r="5" spans="1:14">
      <c r="A5" s="3"/>
      <c r="C5" s="3"/>
      <c r="D5" s="3"/>
      <c r="N5" s="3"/>
    </row>
    <row r="6" spans="1:14">
      <c r="A6" s="3"/>
      <c r="C6" s="3"/>
      <c r="D6" s="3"/>
      <c r="N6" s="3"/>
    </row>
    <row r="7" spans="1:14">
      <c r="A7" s="3"/>
      <c r="C7" s="3"/>
      <c r="D7" s="3"/>
      <c r="N7" s="3"/>
    </row>
    <row r="8" spans="1:14">
      <c r="A8" s="3"/>
      <c r="C8" s="3"/>
      <c r="D8" s="3"/>
      <c r="N8" s="3"/>
    </row>
    <row r="9" spans="1:14">
      <c r="A9" s="3"/>
      <c r="C9" s="3"/>
      <c r="D9" s="3"/>
      <c r="N9" s="3"/>
    </row>
    <row r="10" spans="1:14">
      <c r="A10" s="3"/>
      <c r="C10" s="3"/>
      <c r="D10" s="3"/>
      <c r="N10" s="3"/>
    </row>
    <row r="11" spans="1:14">
      <c r="A11" s="3"/>
      <c r="C11" s="3"/>
      <c r="D11" s="3"/>
      <c r="N11" s="3"/>
    </row>
    <row r="12" spans="1:14">
      <c r="A12" s="3"/>
      <c r="C12" s="3"/>
      <c r="D12" s="3"/>
      <c r="N12" s="3"/>
    </row>
    <row r="13" spans="1:14">
      <c r="A13" s="3"/>
      <c r="C13" s="3"/>
      <c r="D13" s="3"/>
      <c r="N13" s="3"/>
    </row>
    <row r="14" spans="1:14" ht="14.25" thickBot="1">
      <c r="A14" s="3"/>
      <c r="C14" s="3"/>
      <c r="D14" s="3"/>
      <c r="K14" s="8" t="s">
        <v>670</v>
      </c>
      <c r="L14" s="8" t="s">
        <v>671</v>
      </c>
      <c r="M14" s="8" t="s">
        <v>670</v>
      </c>
      <c r="N14" s="3" t="s">
        <v>671</v>
      </c>
    </row>
    <row r="15" spans="1:14">
      <c r="A15" s="3"/>
      <c r="C15" s="3"/>
      <c r="D15" s="3" t="s">
        <v>584</v>
      </c>
      <c r="E15" s="12" t="s">
        <v>673</v>
      </c>
      <c r="F15" s="27"/>
      <c r="G15" s="28"/>
      <c r="H15" s="29"/>
      <c r="J15" s="3" t="s">
        <v>584</v>
      </c>
      <c r="K15" s="12" t="s">
        <v>672</v>
      </c>
      <c r="L15" s="27"/>
      <c r="M15" s="28"/>
      <c r="N15" s="29"/>
    </row>
    <row r="16" spans="1:14">
      <c r="A16" s="3"/>
      <c r="C16" s="3"/>
      <c r="D16" s="3" t="s">
        <v>585</v>
      </c>
      <c r="E16" s="13" t="s">
        <v>7</v>
      </c>
      <c r="F16" s="30"/>
      <c r="G16" s="30"/>
      <c r="H16" s="31"/>
      <c r="J16" s="3" t="s">
        <v>585</v>
      </c>
      <c r="K16" s="13" t="s">
        <v>674</v>
      </c>
      <c r="L16" s="30"/>
      <c r="M16" s="30"/>
      <c r="N16" s="31"/>
    </row>
    <row r="17" spans="1:14">
      <c r="A17" s="3"/>
      <c r="C17" s="3"/>
      <c r="D17" s="3" t="s">
        <v>0</v>
      </c>
      <c r="E17" s="23">
        <v>1</v>
      </c>
      <c r="F17" s="14">
        <v>120.25</v>
      </c>
      <c r="G17" s="14">
        <v>210.5</v>
      </c>
      <c r="H17" s="24">
        <v>365</v>
      </c>
      <c r="J17" s="3" t="s">
        <v>0</v>
      </c>
      <c r="K17" s="23">
        <v>180.5</v>
      </c>
      <c r="L17" s="14">
        <v>180.5</v>
      </c>
      <c r="M17" s="14">
        <v>190.25</v>
      </c>
      <c r="N17" s="24">
        <v>190.25</v>
      </c>
    </row>
    <row r="18" spans="1:14">
      <c r="A18" s="3"/>
      <c r="C18" s="3">
        <v>1</v>
      </c>
      <c r="D18" s="3" t="s">
        <v>668</v>
      </c>
      <c r="E18" s="25">
        <v>10</v>
      </c>
      <c r="F18" s="15">
        <v>10</v>
      </c>
      <c r="G18" s="15">
        <v>10</v>
      </c>
      <c r="H18" s="16">
        <v>10</v>
      </c>
      <c r="J18" s="3" t="s">
        <v>668</v>
      </c>
      <c r="K18" s="25">
        <v>1</v>
      </c>
      <c r="L18" s="15">
        <v>1</v>
      </c>
      <c r="M18" s="15">
        <v>1</v>
      </c>
      <c r="N18" s="16">
        <v>1</v>
      </c>
    </row>
    <row r="19" spans="1:14">
      <c r="A19" s="3"/>
      <c r="C19" s="3">
        <v>2</v>
      </c>
      <c r="D19" s="3" t="s">
        <v>668</v>
      </c>
      <c r="E19" s="25">
        <v>20</v>
      </c>
      <c r="F19" s="15">
        <v>20</v>
      </c>
      <c r="G19" s="15">
        <v>20</v>
      </c>
      <c r="H19" s="16">
        <v>20</v>
      </c>
      <c r="I19" s="3"/>
      <c r="J19" s="3" t="s">
        <v>668</v>
      </c>
      <c r="K19" s="25">
        <v>2</v>
      </c>
      <c r="L19" s="15">
        <v>2</v>
      </c>
      <c r="M19" s="15">
        <v>2</v>
      </c>
      <c r="N19" s="16">
        <v>2</v>
      </c>
    </row>
    <row r="20" spans="1:14">
      <c r="A20" s="3"/>
      <c r="C20" s="3">
        <v>3</v>
      </c>
      <c r="D20" s="3" t="s">
        <v>668</v>
      </c>
      <c r="E20" s="25">
        <v>30</v>
      </c>
      <c r="F20" s="15">
        <v>30</v>
      </c>
      <c r="G20" s="15">
        <v>30</v>
      </c>
      <c r="H20" s="16">
        <v>30</v>
      </c>
      <c r="I20" s="3"/>
      <c r="J20" s="3" t="s">
        <v>668</v>
      </c>
      <c r="K20" s="25">
        <v>3</v>
      </c>
      <c r="L20" s="15">
        <v>3</v>
      </c>
      <c r="M20" s="15">
        <v>3</v>
      </c>
      <c r="N20" s="16">
        <v>3</v>
      </c>
    </row>
    <row r="21" spans="1:14">
      <c r="A21" s="3"/>
      <c r="C21" s="3">
        <v>4</v>
      </c>
      <c r="D21" s="3" t="s">
        <v>668</v>
      </c>
      <c r="E21" s="25">
        <v>40</v>
      </c>
      <c r="F21" s="15">
        <v>40</v>
      </c>
      <c r="G21" s="15">
        <v>40</v>
      </c>
      <c r="H21" s="16">
        <v>40</v>
      </c>
      <c r="I21" s="3"/>
      <c r="J21" s="3" t="s">
        <v>668</v>
      </c>
      <c r="K21" s="25">
        <v>4</v>
      </c>
      <c r="L21" s="15">
        <v>4</v>
      </c>
      <c r="M21" s="15">
        <v>4</v>
      </c>
      <c r="N21" s="16">
        <v>4</v>
      </c>
    </row>
    <row r="22" spans="1:14">
      <c r="A22" s="3"/>
      <c r="C22" s="3">
        <v>5</v>
      </c>
      <c r="D22" s="3" t="s">
        <v>668</v>
      </c>
      <c r="E22" s="25">
        <v>50</v>
      </c>
      <c r="F22" s="15">
        <v>50</v>
      </c>
      <c r="G22" s="15">
        <v>50</v>
      </c>
      <c r="H22" s="16">
        <v>50</v>
      </c>
      <c r="I22" s="3"/>
      <c r="J22" s="3" t="s">
        <v>668</v>
      </c>
      <c r="K22" s="25">
        <v>5</v>
      </c>
      <c r="L22" s="15">
        <v>5</v>
      </c>
      <c r="M22" s="15">
        <v>5</v>
      </c>
      <c r="N22" s="16">
        <v>5</v>
      </c>
    </row>
    <row r="23" spans="1:14">
      <c r="A23" s="3"/>
      <c r="C23" s="3">
        <v>6</v>
      </c>
      <c r="D23" s="3" t="s">
        <v>668</v>
      </c>
      <c r="E23" s="25">
        <v>60</v>
      </c>
      <c r="F23" s="15">
        <v>60</v>
      </c>
      <c r="G23" s="15">
        <v>60</v>
      </c>
      <c r="H23" s="16">
        <v>60</v>
      </c>
      <c r="I23" s="3"/>
      <c r="J23" s="3" t="s">
        <v>668</v>
      </c>
      <c r="K23" s="25">
        <v>6</v>
      </c>
      <c r="L23" s="15">
        <v>6</v>
      </c>
      <c r="M23" s="15">
        <v>6</v>
      </c>
      <c r="N23" s="16">
        <v>6</v>
      </c>
    </row>
    <row r="24" spans="1:14">
      <c r="A24" s="3"/>
      <c r="C24" s="3">
        <v>7</v>
      </c>
      <c r="D24" s="3" t="s">
        <v>668</v>
      </c>
      <c r="E24" s="25">
        <v>70</v>
      </c>
      <c r="F24" s="15">
        <v>70</v>
      </c>
      <c r="G24" s="15">
        <v>70</v>
      </c>
      <c r="H24" s="16">
        <v>70</v>
      </c>
      <c r="I24" s="3"/>
      <c r="J24" s="3" t="s">
        <v>668</v>
      </c>
      <c r="K24" s="25">
        <v>7</v>
      </c>
      <c r="L24" s="15">
        <v>7</v>
      </c>
      <c r="M24" s="15">
        <v>7</v>
      </c>
      <c r="N24" s="16">
        <v>7</v>
      </c>
    </row>
    <row r="25" spans="1:14">
      <c r="A25" s="3"/>
      <c r="C25" s="3">
        <v>8</v>
      </c>
      <c r="D25" s="3" t="s">
        <v>668</v>
      </c>
      <c r="E25" s="25">
        <v>80</v>
      </c>
      <c r="F25" s="15">
        <v>80</v>
      </c>
      <c r="G25" s="15">
        <v>80</v>
      </c>
      <c r="H25" s="16">
        <v>80</v>
      </c>
      <c r="I25" s="3"/>
      <c r="J25" s="3" t="s">
        <v>668</v>
      </c>
      <c r="K25" s="25">
        <v>8</v>
      </c>
      <c r="L25" s="15">
        <v>8</v>
      </c>
      <c r="M25" s="15">
        <v>8</v>
      </c>
      <c r="N25" s="16">
        <v>8</v>
      </c>
    </row>
    <row r="26" spans="1:14">
      <c r="A26" s="3"/>
      <c r="C26" s="3">
        <v>9</v>
      </c>
      <c r="D26" s="3" t="s">
        <v>668</v>
      </c>
      <c r="E26" s="25">
        <v>90</v>
      </c>
      <c r="F26" s="15">
        <v>90</v>
      </c>
      <c r="G26" s="15">
        <v>90</v>
      </c>
      <c r="H26" s="16">
        <v>90</v>
      </c>
      <c r="I26" s="3"/>
      <c r="J26" s="3" t="s">
        <v>668</v>
      </c>
      <c r="K26" s="25">
        <v>9</v>
      </c>
      <c r="L26" s="15">
        <v>9</v>
      </c>
      <c r="M26" s="15">
        <v>9</v>
      </c>
      <c r="N26" s="16">
        <v>9</v>
      </c>
    </row>
    <row r="27" spans="1:14">
      <c r="A27" s="3"/>
      <c r="C27" s="3">
        <v>10</v>
      </c>
      <c r="D27" s="3" t="s">
        <v>668</v>
      </c>
      <c r="E27" s="25">
        <v>100</v>
      </c>
      <c r="F27" s="15">
        <v>100</v>
      </c>
      <c r="G27" s="15">
        <v>100</v>
      </c>
      <c r="H27" s="16">
        <v>100</v>
      </c>
      <c r="I27" s="3"/>
      <c r="J27" s="3" t="s">
        <v>668</v>
      </c>
      <c r="K27" s="25">
        <v>10</v>
      </c>
      <c r="L27" s="15">
        <v>10</v>
      </c>
      <c r="M27" s="15">
        <v>10</v>
      </c>
      <c r="N27" s="16">
        <v>10</v>
      </c>
    </row>
    <row r="28" spans="1:14">
      <c r="A28" s="3"/>
      <c r="C28" s="3">
        <v>11</v>
      </c>
      <c r="D28" s="3" t="s">
        <v>668</v>
      </c>
      <c r="E28" s="25">
        <v>110</v>
      </c>
      <c r="F28" s="15">
        <v>110</v>
      </c>
      <c r="G28" s="15">
        <v>110</v>
      </c>
      <c r="H28" s="16">
        <v>110</v>
      </c>
      <c r="I28" s="3"/>
      <c r="J28" s="3" t="s">
        <v>668</v>
      </c>
      <c r="K28" s="25">
        <v>11</v>
      </c>
      <c r="L28" s="15">
        <v>11</v>
      </c>
      <c r="M28" s="15">
        <v>11</v>
      </c>
      <c r="N28" s="16">
        <v>11</v>
      </c>
    </row>
    <row r="29" spans="1:14">
      <c r="A29" s="3"/>
      <c r="C29" s="3">
        <v>12</v>
      </c>
      <c r="D29" s="3" t="s">
        <v>668</v>
      </c>
      <c r="E29" s="25">
        <v>120</v>
      </c>
      <c r="F29" s="15">
        <v>120</v>
      </c>
      <c r="G29" s="15">
        <v>120</v>
      </c>
      <c r="H29" s="16">
        <v>120</v>
      </c>
      <c r="I29" s="3"/>
      <c r="J29" s="3" t="s">
        <v>668</v>
      </c>
      <c r="K29" s="25">
        <v>12</v>
      </c>
      <c r="L29" s="15">
        <v>12</v>
      </c>
      <c r="M29" s="15">
        <v>12</v>
      </c>
      <c r="N29" s="16">
        <v>12</v>
      </c>
    </row>
    <row r="30" spans="1:14">
      <c r="A30" s="3"/>
      <c r="C30" s="3">
        <v>13</v>
      </c>
      <c r="D30" s="3" t="s">
        <v>668</v>
      </c>
      <c r="E30" s="25">
        <v>130</v>
      </c>
      <c r="F30" s="15">
        <v>130</v>
      </c>
      <c r="G30" s="15">
        <v>130</v>
      </c>
      <c r="H30" s="16">
        <v>130</v>
      </c>
      <c r="I30" s="3"/>
      <c r="J30" s="3" t="s">
        <v>668</v>
      </c>
      <c r="K30" s="25">
        <v>13</v>
      </c>
      <c r="L30" s="15">
        <v>13</v>
      </c>
      <c r="M30" s="15">
        <v>13</v>
      </c>
      <c r="N30" s="16">
        <v>13</v>
      </c>
    </row>
    <row r="31" spans="1:14">
      <c r="A31" s="3"/>
      <c r="C31" s="3">
        <v>14</v>
      </c>
      <c r="D31" s="3" t="s">
        <v>668</v>
      </c>
      <c r="E31" s="25">
        <v>140</v>
      </c>
      <c r="F31" s="15">
        <v>140</v>
      </c>
      <c r="G31" s="15">
        <v>140</v>
      </c>
      <c r="H31" s="16">
        <v>140</v>
      </c>
      <c r="I31" s="3"/>
      <c r="J31" s="3" t="s">
        <v>668</v>
      </c>
      <c r="K31" s="25">
        <v>14</v>
      </c>
      <c r="L31" s="15">
        <v>14</v>
      </c>
      <c r="M31" s="15">
        <v>14</v>
      </c>
      <c r="N31" s="16">
        <v>14</v>
      </c>
    </row>
    <row r="32" spans="1:14">
      <c r="A32" s="3"/>
      <c r="C32" s="3">
        <v>15</v>
      </c>
      <c r="D32" s="3" t="s">
        <v>668</v>
      </c>
      <c r="E32" s="25">
        <v>150</v>
      </c>
      <c r="F32" s="15">
        <v>150</v>
      </c>
      <c r="G32" s="15">
        <v>150</v>
      </c>
      <c r="H32" s="16">
        <v>150</v>
      </c>
      <c r="I32" s="3"/>
      <c r="J32" s="3" t="s">
        <v>668</v>
      </c>
      <c r="K32" s="25">
        <v>15</v>
      </c>
      <c r="L32" s="15">
        <v>15</v>
      </c>
      <c r="M32" s="15">
        <v>15</v>
      </c>
      <c r="N32" s="16">
        <v>15</v>
      </c>
    </row>
    <row r="33" spans="3:14">
      <c r="C33" s="3">
        <v>16</v>
      </c>
      <c r="D33" s="3" t="s">
        <v>668</v>
      </c>
      <c r="E33" s="25">
        <v>160</v>
      </c>
      <c r="F33" s="15">
        <v>160</v>
      </c>
      <c r="G33" s="15">
        <v>160</v>
      </c>
      <c r="H33" s="16">
        <v>160</v>
      </c>
      <c r="J33" s="3" t="s">
        <v>668</v>
      </c>
      <c r="K33" s="25">
        <v>16</v>
      </c>
      <c r="L33" s="15">
        <v>16</v>
      </c>
      <c r="M33" s="15">
        <v>16</v>
      </c>
      <c r="N33" s="16">
        <v>16</v>
      </c>
    </row>
    <row r="34" spans="3:14">
      <c r="C34" s="3">
        <v>17</v>
      </c>
      <c r="D34" s="3" t="s">
        <v>668</v>
      </c>
      <c r="E34" s="25">
        <v>170</v>
      </c>
      <c r="F34" s="15">
        <v>170</v>
      </c>
      <c r="G34" s="15">
        <v>170</v>
      </c>
      <c r="H34" s="16">
        <v>170</v>
      </c>
      <c r="J34" s="3" t="s">
        <v>668</v>
      </c>
      <c r="K34" s="25">
        <v>17</v>
      </c>
      <c r="L34" s="15">
        <v>17</v>
      </c>
      <c r="M34" s="15">
        <v>17</v>
      </c>
      <c r="N34" s="16">
        <v>17</v>
      </c>
    </row>
    <row r="35" spans="3:14">
      <c r="C35" s="3">
        <v>18</v>
      </c>
      <c r="D35" s="3" t="s">
        <v>668</v>
      </c>
      <c r="E35" s="25">
        <v>180</v>
      </c>
      <c r="F35" s="15">
        <v>180</v>
      </c>
      <c r="G35" s="15">
        <v>180</v>
      </c>
      <c r="H35" s="16">
        <v>180</v>
      </c>
      <c r="J35" s="3" t="s">
        <v>668</v>
      </c>
      <c r="K35" s="25">
        <v>18</v>
      </c>
      <c r="L35" s="15">
        <v>18</v>
      </c>
      <c r="M35" s="15">
        <v>18</v>
      </c>
      <c r="N35" s="16">
        <v>18</v>
      </c>
    </row>
    <row r="36" spans="3:14">
      <c r="C36" s="3">
        <v>19</v>
      </c>
      <c r="D36" s="3" t="s">
        <v>668</v>
      </c>
      <c r="E36" s="25">
        <v>190</v>
      </c>
      <c r="F36" s="15">
        <v>190</v>
      </c>
      <c r="G36" s="15">
        <v>190</v>
      </c>
      <c r="H36" s="16">
        <v>190</v>
      </c>
      <c r="J36" s="3" t="s">
        <v>668</v>
      </c>
      <c r="K36" s="25">
        <v>19</v>
      </c>
      <c r="L36" s="15">
        <v>19</v>
      </c>
      <c r="M36" s="15">
        <v>19</v>
      </c>
      <c r="N36" s="16">
        <v>19</v>
      </c>
    </row>
    <row r="37" spans="3:14">
      <c r="C37" s="3">
        <v>20</v>
      </c>
      <c r="D37" s="3" t="s">
        <v>668</v>
      </c>
      <c r="E37" s="25">
        <v>200</v>
      </c>
      <c r="F37" s="15">
        <v>200</v>
      </c>
      <c r="G37" s="15">
        <v>200</v>
      </c>
      <c r="H37" s="16">
        <v>200</v>
      </c>
      <c r="J37" s="3" t="s">
        <v>668</v>
      </c>
      <c r="K37" s="25">
        <v>20</v>
      </c>
      <c r="L37" s="15">
        <v>20</v>
      </c>
      <c r="M37" s="15">
        <v>20</v>
      </c>
      <c r="N37" s="16">
        <v>20</v>
      </c>
    </row>
    <row r="38" spans="3:14" ht="14.25" thickBot="1">
      <c r="C38" s="3">
        <v>21</v>
      </c>
      <c r="D38" s="3" t="s">
        <v>668</v>
      </c>
      <c r="E38" s="26">
        <v>210</v>
      </c>
      <c r="F38" s="17">
        <v>210</v>
      </c>
      <c r="G38" s="17">
        <v>210</v>
      </c>
      <c r="H38" s="18">
        <v>210</v>
      </c>
      <c r="J38" s="3" t="s">
        <v>668</v>
      </c>
      <c r="K38" s="26">
        <v>21</v>
      </c>
      <c r="L38" s="17">
        <v>21</v>
      </c>
      <c r="M38" s="17">
        <v>21</v>
      </c>
      <c r="N38" s="18">
        <v>21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10.7109375" defaultRowHeight="13.5"/>
  <cols>
    <col min="1" max="3" width="10.7109375" style="8"/>
    <col min="4" max="4" width="13.7109375" style="8" bestFit="1" customWidth="1"/>
    <col min="5" max="5" width="10.7109375" style="8"/>
    <col min="6" max="8" width="10.7109375" style="70"/>
    <col min="9" max="16384" width="10.7109375" style="8"/>
  </cols>
  <sheetData>
    <row r="1" spans="1:8" s="5" customFormat="1">
      <c r="D1" s="6"/>
    </row>
    <row r="2" spans="1:8">
      <c r="A2" s="1"/>
      <c r="C2" s="1"/>
      <c r="D2" s="1"/>
    </row>
    <row r="3" spans="1:8" ht="14.25" thickBot="1">
      <c r="A3" s="2"/>
      <c r="E3" s="4"/>
    </row>
    <row r="4" spans="1:8" ht="14.25" thickBot="1">
      <c r="A4" s="3"/>
      <c r="C4" s="3"/>
      <c r="D4" s="34"/>
      <c r="E4" s="35" t="s">
        <v>583</v>
      </c>
    </row>
    <row r="5" spans="1:8">
      <c r="A5" s="3"/>
      <c r="C5" s="3"/>
      <c r="D5" s="3"/>
    </row>
    <row r="6" spans="1:8">
      <c r="A6" s="3"/>
      <c r="C6" s="3"/>
      <c r="D6" s="3"/>
    </row>
    <row r="7" spans="1:8">
      <c r="A7" s="3"/>
      <c r="C7" s="3"/>
      <c r="D7" s="3"/>
    </row>
    <row r="8" spans="1:8">
      <c r="A8" s="3"/>
      <c r="C8" s="3"/>
      <c r="D8" s="3"/>
    </row>
    <row r="9" spans="1:8">
      <c r="A9" s="3"/>
      <c r="C9" s="3"/>
      <c r="D9" s="3"/>
    </row>
    <row r="10" spans="1:8">
      <c r="A10" s="3"/>
      <c r="C10" s="3"/>
      <c r="D10" s="3"/>
    </row>
    <row r="11" spans="1:8">
      <c r="A11" s="3"/>
      <c r="C11" s="3"/>
      <c r="D11" s="3"/>
    </row>
    <row r="12" spans="1:8">
      <c r="A12" s="3"/>
      <c r="C12" s="3"/>
      <c r="D12" s="3"/>
    </row>
    <row r="13" spans="1:8">
      <c r="A13" s="3"/>
      <c r="C13" s="3"/>
      <c r="D13" s="3"/>
    </row>
    <row r="14" spans="1:8" ht="14.25" thickBot="1">
      <c r="A14" s="3"/>
      <c r="C14" s="3"/>
      <c r="D14" s="3"/>
    </row>
    <row r="15" spans="1:8">
      <c r="A15" s="3"/>
      <c r="C15" s="3"/>
      <c r="D15" s="3" t="s">
        <v>584</v>
      </c>
      <c r="E15" s="12" t="s">
        <v>582</v>
      </c>
      <c r="F15" s="27"/>
      <c r="G15" s="28"/>
      <c r="H15" s="29"/>
    </row>
    <row r="16" spans="1:8">
      <c r="A16" s="3"/>
      <c r="C16" s="3"/>
      <c r="D16" s="3" t="s">
        <v>585</v>
      </c>
      <c r="E16" s="13" t="s">
        <v>581</v>
      </c>
      <c r="F16" s="30"/>
      <c r="G16" s="30"/>
      <c r="H16" s="31"/>
    </row>
    <row r="17" spans="1:8">
      <c r="A17" s="3"/>
      <c r="C17" s="3"/>
      <c r="D17" s="3" t="s">
        <v>0</v>
      </c>
      <c r="E17" s="23">
        <v>182</v>
      </c>
      <c r="F17" s="14">
        <v>182.25</v>
      </c>
      <c r="G17" s="14">
        <v>183</v>
      </c>
      <c r="H17" s="24">
        <v>183.25</v>
      </c>
    </row>
    <row r="18" spans="1:8">
      <c r="A18" s="3"/>
      <c r="C18" s="3">
        <v>1</v>
      </c>
      <c r="D18" s="3" t="s">
        <v>668</v>
      </c>
      <c r="E18" s="25">
        <v>10</v>
      </c>
      <c r="F18" s="15">
        <v>0</v>
      </c>
      <c r="G18" s="15">
        <v>20</v>
      </c>
      <c r="H18" s="16">
        <v>0</v>
      </c>
    </row>
    <row r="19" spans="1:8">
      <c r="A19" s="3"/>
      <c r="C19" s="3">
        <v>2</v>
      </c>
      <c r="D19" s="3" t="s">
        <v>668</v>
      </c>
      <c r="E19" s="25">
        <v>10</v>
      </c>
      <c r="F19" s="15">
        <v>0</v>
      </c>
      <c r="G19" s="15">
        <v>20</v>
      </c>
      <c r="H19" s="16">
        <v>0</v>
      </c>
    </row>
    <row r="20" spans="1:8">
      <c r="A20" s="3"/>
      <c r="C20" s="3">
        <v>3</v>
      </c>
      <c r="D20" s="3" t="s">
        <v>668</v>
      </c>
      <c r="E20" s="25">
        <v>10</v>
      </c>
      <c r="F20" s="15">
        <v>0</v>
      </c>
      <c r="G20" s="15">
        <v>20</v>
      </c>
      <c r="H20" s="16">
        <v>0</v>
      </c>
    </row>
    <row r="21" spans="1:8">
      <c r="A21" s="3"/>
      <c r="C21" s="3">
        <v>4</v>
      </c>
      <c r="D21" s="3" t="s">
        <v>668</v>
      </c>
      <c r="E21" s="25">
        <v>10</v>
      </c>
      <c r="F21" s="15">
        <v>0</v>
      </c>
      <c r="G21" s="15">
        <v>20</v>
      </c>
      <c r="H21" s="16">
        <v>0</v>
      </c>
    </row>
    <row r="22" spans="1:8">
      <c r="A22" s="3"/>
      <c r="C22" s="3">
        <v>5</v>
      </c>
      <c r="D22" s="3" t="s">
        <v>668</v>
      </c>
      <c r="E22" s="25">
        <v>10</v>
      </c>
      <c r="F22" s="15">
        <v>0</v>
      </c>
      <c r="G22" s="15">
        <v>20</v>
      </c>
      <c r="H22" s="16">
        <v>0</v>
      </c>
    </row>
    <row r="23" spans="1:8">
      <c r="A23" s="3"/>
      <c r="C23" s="3">
        <v>6</v>
      </c>
      <c r="D23" s="3" t="s">
        <v>668</v>
      </c>
      <c r="E23" s="25">
        <v>10</v>
      </c>
      <c r="F23" s="15">
        <v>0</v>
      </c>
      <c r="G23" s="15">
        <v>20</v>
      </c>
      <c r="H23" s="16">
        <v>0</v>
      </c>
    </row>
    <row r="24" spans="1:8">
      <c r="A24" s="3"/>
      <c r="C24" s="3">
        <v>7</v>
      </c>
      <c r="D24" s="3" t="s">
        <v>668</v>
      </c>
      <c r="E24" s="25">
        <v>10</v>
      </c>
      <c r="F24" s="15">
        <v>0</v>
      </c>
      <c r="G24" s="15">
        <v>20</v>
      </c>
      <c r="H24" s="16">
        <v>0</v>
      </c>
    </row>
    <row r="25" spans="1:8">
      <c r="A25" s="3"/>
      <c r="C25" s="3">
        <v>8</v>
      </c>
      <c r="D25" s="3" t="s">
        <v>668</v>
      </c>
      <c r="E25" s="25">
        <v>10</v>
      </c>
      <c r="F25" s="15">
        <v>0</v>
      </c>
      <c r="G25" s="15">
        <v>20</v>
      </c>
      <c r="H25" s="16">
        <v>0</v>
      </c>
    </row>
    <row r="26" spans="1:8">
      <c r="A26" s="3"/>
      <c r="C26" s="3">
        <v>9</v>
      </c>
      <c r="D26" s="3" t="s">
        <v>668</v>
      </c>
      <c r="E26" s="25">
        <v>10</v>
      </c>
      <c r="F26" s="15">
        <v>0</v>
      </c>
      <c r="G26" s="15">
        <v>20</v>
      </c>
      <c r="H26" s="16">
        <v>0</v>
      </c>
    </row>
    <row r="27" spans="1:8">
      <c r="A27" s="3"/>
      <c r="C27" s="3">
        <v>10</v>
      </c>
      <c r="D27" s="3" t="s">
        <v>668</v>
      </c>
      <c r="E27" s="25">
        <v>10</v>
      </c>
      <c r="F27" s="15">
        <v>0</v>
      </c>
      <c r="G27" s="15">
        <v>20</v>
      </c>
      <c r="H27" s="16">
        <v>0</v>
      </c>
    </row>
    <row r="28" spans="1:8">
      <c r="C28" s="3">
        <v>11</v>
      </c>
      <c r="D28" s="3" t="s">
        <v>668</v>
      </c>
      <c r="E28" s="25">
        <v>10</v>
      </c>
      <c r="F28" s="15">
        <v>0</v>
      </c>
      <c r="G28" s="15">
        <v>20</v>
      </c>
      <c r="H28" s="16">
        <v>0</v>
      </c>
    </row>
    <row r="29" spans="1:8">
      <c r="C29" s="3">
        <v>12</v>
      </c>
      <c r="D29" s="3" t="s">
        <v>668</v>
      </c>
      <c r="E29" s="25">
        <v>10</v>
      </c>
      <c r="F29" s="15">
        <v>0</v>
      </c>
      <c r="G29" s="15">
        <v>20</v>
      </c>
      <c r="H29" s="16">
        <v>0</v>
      </c>
    </row>
    <row r="30" spans="1:8">
      <c r="C30" s="3">
        <v>13</v>
      </c>
      <c r="D30" s="3" t="s">
        <v>668</v>
      </c>
      <c r="E30" s="25">
        <v>10</v>
      </c>
      <c r="F30" s="15">
        <v>0</v>
      </c>
      <c r="G30" s="15">
        <v>20</v>
      </c>
      <c r="H30" s="16">
        <v>0</v>
      </c>
    </row>
    <row r="31" spans="1:8">
      <c r="C31" s="3">
        <v>14</v>
      </c>
      <c r="D31" s="3" t="s">
        <v>668</v>
      </c>
      <c r="E31" s="25">
        <v>10</v>
      </c>
      <c r="F31" s="15">
        <v>0</v>
      </c>
      <c r="G31" s="15">
        <v>20</v>
      </c>
      <c r="H31" s="16">
        <v>0</v>
      </c>
    </row>
    <row r="32" spans="1:8">
      <c r="C32" s="3">
        <v>15</v>
      </c>
      <c r="D32" s="3" t="s">
        <v>668</v>
      </c>
      <c r="E32" s="25">
        <v>10</v>
      </c>
      <c r="F32" s="15">
        <v>0</v>
      </c>
      <c r="G32" s="15">
        <v>20</v>
      </c>
      <c r="H32" s="16">
        <v>0</v>
      </c>
    </row>
    <row r="33" spans="3:8">
      <c r="C33" s="3">
        <v>16</v>
      </c>
      <c r="D33" s="3" t="s">
        <v>668</v>
      </c>
      <c r="E33" s="25">
        <v>10</v>
      </c>
      <c r="F33" s="15">
        <v>0</v>
      </c>
      <c r="G33" s="15">
        <v>20</v>
      </c>
      <c r="H33" s="16">
        <v>0</v>
      </c>
    </row>
    <row r="34" spans="3:8">
      <c r="C34" s="3">
        <v>17</v>
      </c>
      <c r="D34" s="3" t="s">
        <v>668</v>
      </c>
      <c r="E34" s="25">
        <v>10</v>
      </c>
      <c r="F34" s="15">
        <v>0</v>
      </c>
      <c r="G34" s="15">
        <v>20</v>
      </c>
      <c r="H34" s="16">
        <v>0</v>
      </c>
    </row>
    <row r="35" spans="3:8">
      <c r="C35" s="3">
        <v>18</v>
      </c>
      <c r="D35" s="3" t="s">
        <v>668</v>
      </c>
      <c r="E35" s="25">
        <v>10</v>
      </c>
      <c r="F35" s="15">
        <v>0</v>
      </c>
      <c r="G35" s="15">
        <v>20</v>
      </c>
      <c r="H35" s="16">
        <v>0</v>
      </c>
    </row>
    <row r="36" spans="3:8">
      <c r="C36" s="3">
        <v>19</v>
      </c>
      <c r="D36" s="3" t="s">
        <v>668</v>
      </c>
      <c r="E36" s="25">
        <v>10</v>
      </c>
      <c r="F36" s="15">
        <v>0</v>
      </c>
      <c r="G36" s="15">
        <v>20</v>
      </c>
      <c r="H36" s="16">
        <v>0</v>
      </c>
    </row>
    <row r="37" spans="3:8">
      <c r="C37" s="3">
        <v>20</v>
      </c>
      <c r="D37" s="3" t="s">
        <v>668</v>
      </c>
      <c r="E37" s="25">
        <v>10</v>
      </c>
      <c r="F37" s="15">
        <v>0</v>
      </c>
      <c r="G37" s="15">
        <v>20</v>
      </c>
      <c r="H37" s="16">
        <v>0</v>
      </c>
    </row>
    <row r="38" spans="3:8">
      <c r="C38" s="3">
        <v>21</v>
      </c>
      <c r="D38" s="3" t="s">
        <v>668</v>
      </c>
      <c r="E38" s="25">
        <v>10</v>
      </c>
      <c r="F38" s="15">
        <v>0</v>
      </c>
      <c r="G38" s="15">
        <v>20</v>
      </c>
      <c r="H38" s="16">
        <v>0</v>
      </c>
    </row>
    <row r="39" spans="3:8">
      <c r="C39" s="3">
        <v>22</v>
      </c>
      <c r="D39" s="3" t="s">
        <v>668</v>
      </c>
      <c r="E39" s="25">
        <v>10</v>
      </c>
      <c r="F39" s="15">
        <v>0</v>
      </c>
      <c r="G39" s="15">
        <v>20</v>
      </c>
      <c r="H39" s="16">
        <v>0</v>
      </c>
    </row>
    <row r="40" spans="3:8">
      <c r="C40" s="3">
        <v>23</v>
      </c>
      <c r="D40" s="3" t="s">
        <v>668</v>
      </c>
      <c r="E40" s="25">
        <v>10</v>
      </c>
      <c r="F40" s="15">
        <v>0</v>
      </c>
      <c r="G40" s="15">
        <v>20</v>
      </c>
      <c r="H40" s="16">
        <v>0</v>
      </c>
    </row>
    <row r="41" spans="3:8">
      <c r="C41" s="3">
        <v>24</v>
      </c>
      <c r="D41" s="3" t="s">
        <v>668</v>
      </c>
      <c r="E41" s="25">
        <v>10</v>
      </c>
      <c r="F41" s="15">
        <v>0</v>
      </c>
      <c r="G41" s="15">
        <v>20</v>
      </c>
      <c r="H41" s="16">
        <v>0</v>
      </c>
    </row>
    <row r="42" spans="3:8">
      <c r="C42" s="3">
        <v>25</v>
      </c>
      <c r="D42" s="3" t="s">
        <v>668</v>
      </c>
      <c r="E42" s="25">
        <v>10</v>
      </c>
      <c r="F42" s="15">
        <v>0</v>
      </c>
      <c r="G42" s="15">
        <v>20</v>
      </c>
      <c r="H42" s="16">
        <v>0</v>
      </c>
    </row>
    <row r="43" spans="3:8">
      <c r="C43" s="3">
        <v>26</v>
      </c>
      <c r="D43" s="3" t="s">
        <v>668</v>
      </c>
      <c r="E43" s="25">
        <v>10</v>
      </c>
      <c r="F43" s="15">
        <v>0</v>
      </c>
      <c r="G43" s="15">
        <v>20</v>
      </c>
      <c r="H43" s="16">
        <v>0</v>
      </c>
    </row>
    <row r="44" spans="3:8">
      <c r="C44" s="3">
        <v>27</v>
      </c>
      <c r="D44" s="3" t="s">
        <v>668</v>
      </c>
      <c r="E44" s="25">
        <v>10</v>
      </c>
      <c r="F44" s="15">
        <v>0</v>
      </c>
      <c r="G44" s="15">
        <v>20</v>
      </c>
      <c r="H44" s="16">
        <v>0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10.7109375" defaultRowHeight="13.5"/>
  <cols>
    <col min="1" max="3" width="10.7109375" style="8"/>
    <col min="4" max="4" width="24.5703125" style="8" bestFit="1" customWidth="1"/>
    <col min="5" max="5" width="10.7109375" style="8"/>
    <col min="6" max="7" width="10.7109375" style="70"/>
    <col min="8" max="16384" width="10.7109375" style="8"/>
  </cols>
  <sheetData>
    <row r="1" spans="1:7" s="5" customFormat="1" ht="14.25" thickBot="1">
      <c r="D1" s="6"/>
    </row>
    <row r="2" spans="1:7" ht="14.25" thickBot="1">
      <c r="A2" s="1"/>
      <c r="C2" s="34"/>
      <c r="D2" s="35" t="s">
        <v>583</v>
      </c>
      <c r="G2" s="1"/>
    </row>
    <row r="3" spans="1:7" ht="14.25" thickBot="1">
      <c r="A3" s="2"/>
      <c r="E3" s="4"/>
      <c r="G3" s="8"/>
    </row>
    <row r="4" spans="1:7">
      <c r="A4" s="3"/>
      <c r="C4" s="3"/>
      <c r="D4" s="8" t="s">
        <v>584</v>
      </c>
      <c r="E4" s="20" t="s">
        <v>1</v>
      </c>
      <c r="F4" s="21"/>
      <c r="G4" s="22"/>
    </row>
    <row r="5" spans="1:7">
      <c r="A5" s="3"/>
      <c r="C5" s="3"/>
      <c r="D5" s="8" t="s">
        <v>669</v>
      </c>
      <c r="E5" s="23" t="s">
        <v>2</v>
      </c>
      <c r="F5" s="14" t="s">
        <v>3</v>
      </c>
      <c r="G5" s="24" t="s">
        <v>5</v>
      </c>
    </row>
    <row r="6" spans="1:7">
      <c r="A6" s="3"/>
      <c r="C6" s="3">
        <v>1</v>
      </c>
      <c r="D6" s="8" t="s">
        <v>668</v>
      </c>
      <c r="E6" s="25">
        <v>1</v>
      </c>
      <c r="F6" s="15">
        <v>1</v>
      </c>
      <c r="G6" s="16">
        <v>1</v>
      </c>
    </row>
    <row r="7" spans="1:7">
      <c r="A7" s="3"/>
      <c r="C7" s="3">
        <v>2</v>
      </c>
      <c r="D7" s="8" t="s">
        <v>668</v>
      </c>
      <c r="E7" s="25">
        <v>2</v>
      </c>
      <c r="F7" s="15">
        <v>2</v>
      </c>
      <c r="G7" s="16">
        <v>2</v>
      </c>
    </row>
    <row r="8" spans="1:7">
      <c r="A8" s="3"/>
      <c r="C8" s="3">
        <v>3</v>
      </c>
      <c r="D8" s="8" t="s">
        <v>668</v>
      </c>
      <c r="E8" s="25">
        <v>3</v>
      </c>
      <c r="F8" s="15">
        <v>3</v>
      </c>
      <c r="G8" s="16">
        <v>3</v>
      </c>
    </row>
    <row r="9" spans="1:7">
      <c r="A9" s="3"/>
      <c r="C9" s="3">
        <v>4</v>
      </c>
      <c r="D9" s="8" t="s">
        <v>668</v>
      </c>
      <c r="E9" s="25">
        <v>4</v>
      </c>
      <c r="F9" s="15">
        <v>4</v>
      </c>
      <c r="G9" s="16">
        <v>4</v>
      </c>
    </row>
    <row r="10" spans="1:7">
      <c r="A10" s="3"/>
      <c r="C10" s="3">
        <v>5</v>
      </c>
      <c r="D10" s="8" t="s">
        <v>668</v>
      </c>
      <c r="E10" s="25">
        <v>5</v>
      </c>
      <c r="F10" s="15">
        <v>5</v>
      </c>
      <c r="G10" s="16">
        <v>5</v>
      </c>
    </row>
    <row r="11" spans="1:7">
      <c r="A11" s="3"/>
      <c r="C11" s="3">
        <v>6</v>
      </c>
      <c r="D11" s="8" t="s">
        <v>668</v>
      </c>
      <c r="E11" s="25">
        <v>6</v>
      </c>
      <c r="F11" s="15">
        <v>6</v>
      </c>
      <c r="G11" s="16">
        <v>6</v>
      </c>
    </row>
    <row r="12" spans="1:7">
      <c r="A12" s="3"/>
      <c r="C12" s="3">
        <v>7</v>
      </c>
      <c r="D12" s="8" t="s">
        <v>668</v>
      </c>
      <c r="E12" s="25">
        <v>7</v>
      </c>
      <c r="F12" s="15">
        <v>7</v>
      </c>
      <c r="G12" s="16">
        <v>7</v>
      </c>
    </row>
    <row r="13" spans="1:7">
      <c r="A13" s="3"/>
      <c r="C13" s="3">
        <v>8</v>
      </c>
      <c r="D13" s="8" t="s">
        <v>668</v>
      </c>
      <c r="E13" s="25">
        <v>8</v>
      </c>
      <c r="F13" s="15">
        <v>8</v>
      </c>
      <c r="G13" s="16">
        <v>8</v>
      </c>
    </row>
    <row r="14" spans="1:7">
      <c r="A14" s="3"/>
      <c r="C14" s="3">
        <v>9</v>
      </c>
      <c r="D14" s="8" t="s">
        <v>668</v>
      </c>
      <c r="E14" s="25">
        <v>9</v>
      </c>
      <c r="F14" s="15">
        <v>9</v>
      </c>
      <c r="G14" s="16">
        <v>9</v>
      </c>
    </row>
    <row r="15" spans="1:7">
      <c r="A15" s="3"/>
      <c r="C15" s="3">
        <v>10</v>
      </c>
      <c r="D15" s="8" t="s">
        <v>668</v>
      </c>
      <c r="E15" s="25">
        <v>10</v>
      </c>
      <c r="F15" s="15">
        <v>10</v>
      </c>
      <c r="G15" s="16">
        <v>10</v>
      </c>
    </row>
    <row r="16" spans="1:7">
      <c r="A16" s="3"/>
      <c r="C16" s="3">
        <v>11</v>
      </c>
      <c r="D16" s="8" t="s">
        <v>668</v>
      </c>
      <c r="E16" s="25">
        <v>11</v>
      </c>
      <c r="F16" s="15">
        <v>11</v>
      </c>
      <c r="G16" s="16">
        <v>11</v>
      </c>
    </row>
    <row r="17" spans="1:7">
      <c r="A17" s="3"/>
      <c r="C17" s="3">
        <v>12</v>
      </c>
      <c r="D17" s="8" t="s">
        <v>668</v>
      </c>
      <c r="E17" s="25">
        <v>12</v>
      </c>
      <c r="F17" s="15">
        <v>12</v>
      </c>
      <c r="G17" s="16">
        <v>12</v>
      </c>
    </row>
    <row r="18" spans="1:7">
      <c r="A18" s="3"/>
      <c r="C18" s="3">
        <v>13</v>
      </c>
      <c r="D18" s="8" t="s">
        <v>668</v>
      </c>
      <c r="E18" s="25">
        <v>13</v>
      </c>
      <c r="F18" s="15">
        <v>13</v>
      </c>
      <c r="G18" s="16">
        <v>13</v>
      </c>
    </row>
    <row r="19" spans="1:7">
      <c r="A19" s="3"/>
      <c r="C19" s="3">
        <v>14</v>
      </c>
      <c r="D19" s="8" t="s">
        <v>668</v>
      </c>
      <c r="E19" s="25">
        <v>14</v>
      </c>
      <c r="F19" s="15">
        <v>14</v>
      </c>
      <c r="G19" s="16">
        <v>14</v>
      </c>
    </row>
    <row r="20" spans="1:7">
      <c r="A20" s="3"/>
      <c r="C20" s="3">
        <v>15</v>
      </c>
      <c r="D20" s="8" t="s">
        <v>668</v>
      </c>
      <c r="E20" s="25">
        <v>15</v>
      </c>
      <c r="F20" s="15">
        <v>15</v>
      </c>
      <c r="G20" s="16">
        <v>15</v>
      </c>
    </row>
    <row r="21" spans="1:7">
      <c r="A21" s="3"/>
      <c r="C21" s="3">
        <v>16</v>
      </c>
      <c r="D21" s="8" t="s">
        <v>668</v>
      </c>
      <c r="E21" s="25">
        <v>16</v>
      </c>
      <c r="F21" s="15">
        <v>16</v>
      </c>
      <c r="G21" s="16">
        <v>16</v>
      </c>
    </row>
    <row r="22" spans="1:7">
      <c r="A22" s="3"/>
      <c r="C22" s="3">
        <v>17</v>
      </c>
      <c r="D22" s="8" t="s">
        <v>668</v>
      </c>
      <c r="E22" s="25">
        <v>17</v>
      </c>
      <c r="F22" s="15">
        <v>17</v>
      </c>
      <c r="G22" s="16">
        <v>17</v>
      </c>
    </row>
    <row r="23" spans="1:7">
      <c r="A23" s="3"/>
      <c r="C23" s="3">
        <v>18</v>
      </c>
      <c r="D23" s="8" t="s">
        <v>668</v>
      </c>
      <c r="E23" s="25">
        <v>18</v>
      </c>
      <c r="F23" s="15">
        <v>18</v>
      </c>
      <c r="G23" s="16">
        <v>18</v>
      </c>
    </row>
    <row r="24" spans="1:7">
      <c r="A24" s="3"/>
      <c r="C24" s="3">
        <v>19</v>
      </c>
      <c r="D24" s="8" t="s">
        <v>668</v>
      </c>
      <c r="E24" s="25">
        <v>19</v>
      </c>
      <c r="F24" s="15">
        <v>19</v>
      </c>
      <c r="G24" s="16">
        <v>19</v>
      </c>
    </row>
    <row r="25" spans="1:7">
      <c r="A25" s="3"/>
      <c r="C25" s="3">
        <v>20</v>
      </c>
      <c r="D25" s="8" t="s">
        <v>668</v>
      </c>
      <c r="E25" s="25">
        <v>20</v>
      </c>
      <c r="F25" s="15">
        <v>20</v>
      </c>
      <c r="G25" s="16">
        <v>20</v>
      </c>
    </row>
    <row r="26" spans="1:7">
      <c r="A26" s="3"/>
      <c r="C26" s="3">
        <v>21</v>
      </c>
      <c r="D26" s="8" t="s">
        <v>668</v>
      </c>
      <c r="E26" s="25">
        <v>21</v>
      </c>
      <c r="F26" s="15">
        <v>21</v>
      </c>
      <c r="G26" s="16">
        <v>21</v>
      </c>
    </row>
    <row r="27" spans="1:7">
      <c r="A27" s="3"/>
      <c r="C27" s="3">
        <v>22</v>
      </c>
      <c r="D27" s="8" t="s">
        <v>668</v>
      </c>
      <c r="E27" s="25">
        <v>22</v>
      </c>
      <c r="F27" s="15">
        <v>22</v>
      </c>
      <c r="G27" s="16">
        <v>22</v>
      </c>
    </row>
    <row r="28" spans="1:7">
      <c r="A28" s="3"/>
      <c r="C28" s="3">
        <v>23</v>
      </c>
      <c r="D28" s="8" t="s">
        <v>668</v>
      </c>
      <c r="E28" s="25">
        <v>23</v>
      </c>
      <c r="F28" s="15">
        <v>23</v>
      </c>
      <c r="G28" s="16">
        <v>23</v>
      </c>
    </row>
    <row r="29" spans="1:7">
      <c r="A29" s="3"/>
      <c r="C29" s="3">
        <v>24</v>
      </c>
      <c r="D29" s="8" t="s">
        <v>668</v>
      </c>
      <c r="E29" s="25">
        <v>24</v>
      </c>
      <c r="F29" s="15">
        <v>24</v>
      </c>
      <c r="G29" s="16">
        <v>24</v>
      </c>
    </row>
    <row r="30" spans="1:7">
      <c r="A30" s="3"/>
      <c r="C30" s="3">
        <v>25</v>
      </c>
      <c r="D30" s="8" t="s">
        <v>668</v>
      </c>
      <c r="E30" s="25">
        <v>25</v>
      </c>
      <c r="F30" s="15">
        <v>25</v>
      </c>
      <c r="G30" s="16">
        <v>25</v>
      </c>
    </row>
    <row r="31" spans="1:7">
      <c r="A31" s="3"/>
      <c r="C31" s="3">
        <v>26</v>
      </c>
      <c r="D31" s="8" t="s">
        <v>668</v>
      </c>
      <c r="E31" s="25">
        <v>26</v>
      </c>
      <c r="F31" s="15">
        <v>26</v>
      </c>
      <c r="G31" s="16">
        <v>26</v>
      </c>
    </row>
    <row r="32" spans="1:7">
      <c r="A32" s="3"/>
      <c r="C32" s="3">
        <v>27</v>
      </c>
      <c r="D32" s="8" t="s">
        <v>668</v>
      </c>
      <c r="E32" s="25">
        <v>27</v>
      </c>
      <c r="F32" s="15">
        <v>27</v>
      </c>
      <c r="G32" s="16">
        <v>27</v>
      </c>
    </row>
    <row r="33" spans="1:7">
      <c r="A33" s="3"/>
      <c r="C33" s="3">
        <v>28</v>
      </c>
      <c r="D33" s="8" t="s">
        <v>668</v>
      </c>
      <c r="E33" s="25">
        <v>28</v>
      </c>
      <c r="F33" s="15">
        <v>28</v>
      </c>
      <c r="G33" s="16">
        <v>28</v>
      </c>
    </row>
    <row r="34" spans="1:7">
      <c r="A34" s="3"/>
      <c r="C34" s="3">
        <v>29</v>
      </c>
      <c r="D34" s="8" t="s">
        <v>668</v>
      </c>
      <c r="E34" s="25">
        <v>29</v>
      </c>
      <c r="F34" s="15">
        <v>29</v>
      </c>
      <c r="G34" s="16">
        <v>29</v>
      </c>
    </row>
    <row r="35" spans="1:7">
      <c r="A35" s="3"/>
      <c r="C35" s="3">
        <v>30</v>
      </c>
      <c r="D35" s="8" t="s">
        <v>668</v>
      </c>
      <c r="E35" s="25">
        <v>30</v>
      </c>
      <c r="F35" s="15">
        <v>30</v>
      </c>
      <c r="G35" s="16">
        <v>30</v>
      </c>
    </row>
    <row r="36" spans="1:7">
      <c r="A36" s="3"/>
      <c r="C36" s="3">
        <v>31</v>
      </c>
      <c r="D36" s="8" t="s">
        <v>668</v>
      </c>
      <c r="E36" s="25">
        <v>31</v>
      </c>
      <c r="F36" s="15">
        <v>31</v>
      </c>
      <c r="G36" s="16">
        <v>31</v>
      </c>
    </row>
    <row r="37" spans="1:7" ht="14.25" thickBot="1">
      <c r="A37" s="3"/>
      <c r="C37" s="3">
        <v>32</v>
      </c>
      <c r="D37" s="8" t="s">
        <v>668</v>
      </c>
      <c r="E37" s="26">
        <v>32</v>
      </c>
      <c r="F37" s="17">
        <v>32</v>
      </c>
      <c r="G37" s="18">
        <v>32</v>
      </c>
    </row>
  </sheetData>
  <phoneticPr fontId="4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6"/>
  <dimension ref="A1:AB44"/>
  <sheetViews>
    <sheetView zoomScale="85" zoomScaleNormal="85" workbookViewId="0"/>
  </sheetViews>
  <sheetFormatPr defaultColWidth="11.7109375" defaultRowHeight="13.5"/>
  <cols>
    <col min="1" max="2" width="11.7109375" style="8"/>
    <col min="3" max="3" width="14.85546875" style="8" bestFit="1" customWidth="1"/>
    <col min="4" max="4" width="16" style="8" customWidth="1"/>
    <col min="5" max="5" width="11.7109375" style="8"/>
    <col min="6" max="7" width="11.7109375" style="11"/>
    <col min="8" max="16384" width="11.7109375" style="8"/>
  </cols>
  <sheetData>
    <row r="1" spans="1:28" ht="14.25" thickBot="1">
      <c r="A1" s="72"/>
      <c r="B1" s="72"/>
      <c r="C1" s="72"/>
      <c r="D1" s="75"/>
      <c r="E1" s="72"/>
      <c r="F1" s="72"/>
      <c r="G1" s="72"/>
      <c r="H1" s="72"/>
      <c r="I1" s="72"/>
      <c r="J1" s="72"/>
      <c r="K1" s="72"/>
    </row>
    <row r="2" spans="1:28" ht="14.25" thickBot="1">
      <c r="A2" s="71"/>
      <c r="B2" s="72"/>
      <c r="C2" s="34"/>
      <c r="D2" s="35" t="s">
        <v>583</v>
      </c>
      <c r="E2" s="72"/>
      <c r="F2" s="76"/>
      <c r="G2" s="71"/>
      <c r="H2" s="72"/>
      <c r="I2" s="72"/>
      <c r="J2" s="72"/>
      <c r="K2" s="72"/>
    </row>
    <row r="3" spans="1:28">
      <c r="A3" s="73"/>
      <c r="B3" s="72"/>
      <c r="C3" s="72"/>
      <c r="D3" s="72"/>
      <c r="E3" s="74"/>
      <c r="F3" s="76"/>
      <c r="G3" s="72"/>
      <c r="H3" s="72"/>
      <c r="I3" s="72"/>
      <c r="J3" s="72"/>
      <c r="K3" s="72"/>
    </row>
    <row r="4" spans="1:28">
      <c r="A4" s="19"/>
      <c r="B4" s="72"/>
      <c r="C4" s="19"/>
      <c r="D4" s="72"/>
      <c r="E4" s="76"/>
      <c r="F4" s="76"/>
      <c r="G4" s="76"/>
      <c r="H4" s="72"/>
      <c r="I4" s="72"/>
      <c r="J4" s="72"/>
      <c r="K4" s="72"/>
    </row>
    <row r="6" spans="1:28" ht="14.25" thickBot="1"/>
    <row r="7" spans="1:28">
      <c r="C7" s="8" t="s">
        <v>675</v>
      </c>
      <c r="D7" s="77" t="s">
        <v>684</v>
      </c>
      <c r="E7" s="110"/>
      <c r="F7" s="111"/>
      <c r="G7" s="111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2"/>
    </row>
    <row r="8" spans="1:28">
      <c r="C8" s="8" t="s">
        <v>676</v>
      </c>
      <c r="D8" s="81" t="s">
        <v>677</v>
      </c>
      <c r="E8" s="85"/>
      <c r="F8" s="113"/>
      <c r="G8" s="113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2"/>
    </row>
    <row r="9" spans="1:28">
      <c r="C9" s="8" t="s">
        <v>13</v>
      </c>
      <c r="D9" s="81">
        <v>1</v>
      </c>
      <c r="E9" s="85">
        <v>2</v>
      </c>
      <c r="F9" s="113">
        <v>3</v>
      </c>
      <c r="G9" s="113">
        <v>4</v>
      </c>
      <c r="H9" s="85">
        <v>5</v>
      </c>
      <c r="I9" s="85">
        <v>6</v>
      </c>
      <c r="J9" s="85">
        <v>7</v>
      </c>
      <c r="K9" s="85">
        <v>8</v>
      </c>
      <c r="L9" s="85">
        <v>9</v>
      </c>
      <c r="M9" s="85">
        <v>10</v>
      </c>
      <c r="N9" s="85">
        <v>11</v>
      </c>
      <c r="O9" s="85">
        <v>12</v>
      </c>
      <c r="P9" s="85">
        <v>13</v>
      </c>
      <c r="Q9" s="85">
        <v>14</v>
      </c>
      <c r="R9" s="85">
        <v>15</v>
      </c>
      <c r="S9" s="85">
        <v>16</v>
      </c>
      <c r="T9" s="85">
        <v>17</v>
      </c>
      <c r="U9" s="85">
        <v>18</v>
      </c>
      <c r="V9" s="85">
        <v>19</v>
      </c>
      <c r="W9" s="85">
        <v>20</v>
      </c>
      <c r="X9" s="85">
        <v>21</v>
      </c>
      <c r="Y9" s="85">
        <v>22</v>
      </c>
      <c r="Z9" s="85">
        <v>23</v>
      </c>
      <c r="AA9" s="82">
        <v>24</v>
      </c>
    </row>
    <row r="10" spans="1:28">
      <c r="C10" s="8" t="s">
        <v>678</v>
      </c>
      <c r="D10" s="81">
        <v>0</v>
      </c>
      <c r="E10" s="85">
        <v>0</v>
      </c>
      <c r="F10" s="113">
        <v>0</v>
      </c>
      <c r="G10" s="113">
        <v>0</v>
      </c>
      <c r="H10" s="85">
        <v>0</v>
      </c>
      <c r="I10" s="85">
        <v>0</v>
      </c>
      <c r="J10" s="85">
        <v>4</v>
      </c>
      <c r="K10" s="85">
        <v>6</v>
      </c>
      <c r="L10" s="85">
        <v>11</v>
      </c>
      <c r="M10" s="85">
        <v>15</v>
      </c>
      <c r="N10" s="85">
        <v>16</v>
      </c>
      <c r="O10" s="85">
        <v>20</v>
      </c>
      <c r="P10" s="85">
        <v>25</v>
      </c>
      <c r="Q10" s="85">
        <v>33</v>
      </c>
      <c r="R10" s="85">
        <v>34</v>
      </c>
      <c r="S10" s="85">
        <v>34</v>
      </c>
      <c r="T10" s="85">
        <v>0</v>
      </c>
      <c r="U10" s="85">
        <v>0</v>
      </c>
      <c r="V10" s="85">
        <v>0</v>
      </c>
      <c r="W10" s="85">
        <v>6</v>
      </c>
      <c r="X10" s="85">
        <v>9</v>
      </c>
      <c r="Y10" s="85">
        <v>11</v>
      </c>
      <c r="Z10" s="85">
        <v>14</v>
      </c>
      <c r="AA10" s="82">
        <v>0</v>
      </c>
    </row>
    <row r="11" spans="1:28">
      <c r="D11" s="81" t="s">
        <v>685</v>
      </c>
      <c r="E11" s="85" t="s">
        <v>685</v>
      </c>
      <c r="F11" s="113" t="s">
        <v>685</v>
      </c>
      <c r="G11" s="113" t="s">
        <v>685</v>
      </c>
      <c r="H11" s="85" t="s">
        <v>685</v>
      </c>
      <c r="I11" s="85" t="s">
        <v>685</v>
      </c>
      <c r="J11" s="85" t="s">
        <v>685</v>
      </c>
      <c r="K11" s="85" t="s">
        <v>685</v>
      </c>
      <c r="L11" s="85" t="s">
        <v>685</v>
      </c>
      <c r="M11" s="85" t="s">
        <v>686</v>
      </c>
      <c r="N11" s="85" t="s">
        <v>686</v>
      </c>
      <c r="O11" s="85" t="s">
        <v>686</v>
      </c>
      <c r="P11" s="85" t="s">
        <v>686</v>
      </c>
      <c r="Q11" s="85" t="s">
        <v>686</v>
      </c>
      <c r="R11" s="85">
        <v>23.2</v>
      </c>
      <c r="S11" s="85">
        <v>23.2</v>
      </c>
      <c r="T11" s="85">
        <v>23.2</v>
      </c>
      <c r="U11" s="85" t="s">
        <v>686</v>
      </c>
      <c r="V11" s="85" t="s">
        <v>686</v>
      </c>
      <c r="W11" s="85" t="s">
        <v>686</v>
      </c>
      <c r="X11" s="85" t="s">
        <v>686</v>
      </c>
      <c r="Y11" s="85" t="s">
        <v>686</v>
      </c>
      <c r="Z11" s="85" t="s">
        <v>686</v>
      </c>
      <c r="AA11" s="82" t="s">
        <v>686</v>
      </c>
      <c r="AB11" s="8">
        <v>29</v>
      </c>
    </row>
    <row r="12" spans="1:28">
      <c r="D12" s="81" t="s">
        <v>686</v>
      </c>
      <c r="E12" s="85" t="s">
        <v>686</v>
      </c>
      <c r="F12" s="113" t="s">
        <v>686</v>
      </c>
      <c r="G12" s="113" t="s">
        <v>686</v>
      </c>
      <c r="H12" s="85" t="s">
        <v>686</v>
      </c>
      <c r="I12" s="85" t="s">
        <v>686</v>
      </c>
      <c r="J12" s="85" t="s">
        <v>686</v>
      </c>
      <c r="K12" s="85" t="s">
        <v>686</v>
      </c>
      <c r="L12" s="85" t="s">
        <v>686</v>
      </c>
      <c r="M12" s="85" t="s">
        <v>687</v>
      </c>
      <c r="N12" s="85" t="s">
        <v>688</v>
      </c>
      <c r="O12" s="85" t="s">
        <v>688</v>
      </c>
      <c r="P12" s="85" t="s">
        <v>688</v>
      </c>
      <c r="Q12" s="85" t="s">
        <v>688</v>
      </c>
      <c r="R12" s="85" t="s">
        <v>689</v>
      </c>
      <c r="S12" s="85" t="s">
        <v>689</v>
      </c>
      <c r="T12" s="85" t="s">
        <v>689</v>
      </c>
      <c r="U12" s="85" t="s">
        <v>687</v>
      </c>
      <c r="V12" s="85" t="s">
        <v>687</v>
      </c>
      <c r="W12" s="85" t="s">
        <v>687</v>
      </c>
      <c r="X12" s="85" t="s">
        <v>687</v>
      </c>
      <c r="Y12" s="85" t="s">
        <v>687</v>
      </c>
      <c r="Z12" s="85" t="s">
        <v>687</v>
      </c>
      <c r="AA12" s="82" t="s">
        <v>687</v>
      </c>
      <c r="AB12" s="8">
        <v>30</v>
      </c>
    </row>
    <row r="13" spans="1:28">
      <c r="D13" s="81" t="s">
        <v>690</v>
      </c>
      <c r="E13" s="85" t="s">
        <v>690</v>
      </c>
      <c r="F13" s="113" t="s">
        <v>690</v>
      </c>
      <c r="G13" s="113" t="s">
        <v>690</v>
      </c>
      <c r="H13" s="85" t="s">
        <v>690</v>
      </c>
      <c r="I13" s="85" t="s">
        <v>690</v>
      </c>
      <c r="J13" s="85" t="s">
        <v>690</v>
      </c>
      <c r="K13" s="85" t="s">
        <v>690</v>
      </c>
      <c r="L13" s="85" t="s">
        <v>690</v>
      </c>
      <c r="M13" s="85" t="s">
        <v>691</v>
      </c>
      <c r="N13" s="85" t="s">
        <v>692</v>
      </c>
      <c r="O13" s="85" t="s">
        <v>692</v>
      </c>
      <c r="P13" s="85" t="s">
        <v>692</v>
      </c>
      <c r="Q13" s="85" t="s">
        <v>692</v>
      </c>
      <c r="R13" s="85" t="s">
        <v>693</v>
      </c>
      <c r="S13" s="85" t="s">
        <v>693</v>
      </c>
      <c r="T13" s="85" t="s">
        <v>693</v>
      </c>
      <c r="U13" s="85" t="s">
        <v>691</v>
      </c>
      <c r="V13" s="85" t="s">
        <v>691</v>
      </c>
      <c r="W13" s="85" t="s">
        <v>691</v>
      </c>
      <c r="X13" s="85" t="s">
        <v>691</v>
      </c>
      <c r="Y13" s="85" t="s">
        <v>691</v>
      </c>
      <c r="Z13" s="85" t="s">
        <v>691</v>
      </c>
      <c r="AA13" s="82" t="s">
        <v>691</v>
      </c>
      <c r="AB13" s="8">
        <v>31</v>
      </c>
    </row>
    <row r="14" spans="1:28">
      <c r="D14" s="81" t="s">
        <v>691</v>
      </c>
      <c r="E14" s="85" t="s">
        <v>691</v>
      </c>
      <c r="F14" s="113" t="s">
        <v>691</v>
      </c>
      <c r="G14" s="113" t="s">
        <v>691</v>
      </c>
      <c r="H14" s="85" t="s">
        <v>691</v>
      </c>
      <c r="I14" s="85" t="s">
        <v>691</v>
      </c>
      <c r="J14" s="85" t="s">
        <v>691</v>
      </c>
      <c r="K14" s="85" t="s">
        <v>691</v>
      </c>
      <c r="L14" s="85" t="s">
        <v>691</v>
      </c>
      <c r="M14" s="85" t="s">
        <v>692</v>
      </c>
      <c r="N14" s="85" t="s">
        <v>689</v>
      </c>
      <c r="O14" s="85" t="s">
        <v>689</v>
      </c>
      <c r="P14" s="85" t="s">
        <v>689</v>
      </c>
      <c r="Q14" s="85" t="s">
        <v>689</v>
      </c>
      <c r="R14" s="85" t="s">
        <v>693</v>
      </c>
      <c r="S14" s="85" t="s">
        <v>693</v>
      </c>
      <c r="T14" s="85" t="s">
        <v>693</v>
      </c>
      <c r="U14" s="85" t="s">
        <v>692</v>
      </c>
      <c r="V14" s="85" t="s">
        <v>692</v>
      </c>
      <c r="W14" s="85" t="s">
        <v>692</v>
      </c>
      <c r="X14" s="85" t="s">
        <v>692</v>
      </c>
      <c r="Y14" s="85" t="s">
        <v>692</v>
      </c>
      <c r="Z14" s="85" t="s">
        <v>692</v>
      </c>
      <c r="AA14" s="82" t="s">
        <v>692</v>
      </c>
      <c r="AB14" s="8">
        <v>32</v>
      </c>
    </row>
    <row r="15" spans="1:28">
      <c r="D15" s="81" t="s">
        <v>692</v>
      </c>
      <c r="E15" s="85" t="s">
        <v>692</v>
      </c>
      <c r="F15" s="113" t="s">
        <v>692</v>
      </c>
      <c r="G15" s="113" t="s">
        <v>692</v>
      </c>
      <c r="H15" s="85" t="s">
        <v>692</v>
      </c>
      <c r="I15" s="85" t="s">
        <v>692</v>
      </c>
      <c r="J15" s="85" t="s">
        <v>692</v>
      </c>
      <c r="K15" s="85" t="s">
        <v>692</v>
      </c>
      <c r="L15" s="85" t="s">
        <v>692</v>
      </c>
      <c r="M15" s="85" t="s">
        <v>694</v>
      </c>
      <c r="N15" s="85" t="s">
        <v>695</v>
      </c>
      <c r="O15" s="85" t="s">
        <v>695</v>
      </c>
      <c r="P15" s="85" t="s">
        <v>695</v>
      </c>
      <c r="Q15" s="85" t="s">
        <v>695</v>
      </c>
      <c r="R15" s="85" t="s">
        <v>696</v>
      </c>
      <c r="S15" s="85" t="s">
        <v>696</v>
      </c>
      <c r="T15" s="85" t="s">
        <v>696</v>
      </c>
      <c r="U15" s="85" t="s">
        <v>694</v>
      </c>
      <c r="V15" s="85" t="s">
        <v>694</v>
      </c>
      <c r="W15" s="85" t="s">
        <v>694</v>
      </c>
      <c r="X15" s="85" t="s">
        <v>694</v>
      </c>
      <c r="Y15" s="85" t="s">
        <v>694</v>
      </c>
      <c r="Z15" s="85" t="s">
        <v>694</v>
      </c>
      <c r="AA15" s="82" t="s">
        <v>694</v>
      </c>
      <c r="AB15" s="8">
        <v>33</v>
      </c>
    </row>
    <row r="16" spans="1:28">
      <c r="D16" s="81" t="s">
        <v>689</v>
      </c>
      <c r="E16" s="85" t="s">
        <v>689</v>
      </c>
      <c r="F16" s="113" t="s">
        <v>689</v>
      </c>
      <c r="G16" s="113" t="s">
        <v>689</v>
      </c>
      <c r="H16" s="85" t="s">
        <v>689</v>
      </c>
      <c r="I16" s="85" t="s">
        <v>689</v>
      </c>
      <c r="J16" s="85" t="s">
        <v>689</v>
      </c>
      <c r="K16" s="85" t="s">
        <v>689</v>
      </c>
      <c r="L16" s="85" t="s">
        <v>689</v>
      </c>
      <c r="M16" s="85" t="s">
        <v>697</v>
      </c>
      <c r="N16" s="85" t="s">
        <v>698</v>
      </c>
      <c r="O16" s="85" t="s">
        <v>698</v>
      </c>
      <c r="P16" s="85" t="s">
        <v>698</v>
      </c>
      <c r="Q16" s="85" t="s">
        <v>698</v>
      </c>
      <c r="R16" s="85" t="s">
        <v>699</v>
      </c>
      <c r="S16" s="85" t="s">
        <v>699</v>
      </c>
      <c r="T16" s="85" t="s">
        <v>699</v>
      </c>
      <c r="U16" s="85" t="s">
        <v>697</v>
      </c>
      <c r="V16" s="85" t="s">
        <v>697</v>
      </c>
      <c r="W16" s="85" t="s">
        <v>697</v>
      </c>
      <c r="X16" s="85" t="s">
        <v>697</v>
      </c>
      <c r="Y16" s="85" t="s">
        <v>697</v>
      </c>
      <c r="Z16" s="85" t="s">
        <v>697</v>
      </c>
      <c r="AA16" s="82" t="s">
        <v>697</v>
      </c>
      <c r="AB16" s="8">
        <v>34</v>
      </c>
    </row>
    <row r="17" spans="4:28">
      <c r="D17" s="81" t="s">
        <v>695</v>
      </c>
      <c r="E17" s="85" t="s">
        <v>695</v>
      </c>
      <c r="F17" s="113" t="s">
        <v>695</v>
      </c>
      <c r="G17" s="113" t="s">
        <v>695</v>
      </c>
      <c r="H17" s="85" t="s">
        <v>695</v>
      </c>
      <c r="I17" s="85" t="s">
        <v>695</v>
      </c>
      <c r="J17" s="85" t="s">
        <v>695</v>
      </c>
      <c r="K17" s="85" t="s">
        <v>695</v>
      </c>
      <c r="L17" s="85" t="s">
        <v>695</v>
      </c>
      <c r="M17" s="85" t="s">
        <v>700</v>
      </c>
      <c r="N17" s="85" t="s">
        <v>701</v>
      </c>
      <c r="O17" s="85" t="s">
        <v>701</v>
      </c>
      <c r="P17" s="85" t="s">
        <v>701</v>
      </c>
      <c r="Q17" s="85" t="s">
        <v>701</v>
      </c>
      <c r="R17" s="85" t="s">
        <v>702</v>
      </c>
      <c r="S17" s="85" t="s">
        <v>702</v>
      </c>
      <c r="T17" s="85" t="s">
        <v>702</v>
      </c>
      <c r="U17" s="85" t="s">
        <v>700</v>
      </c>
      <c r="V17" s="85" t="s">
        <v>700</v>
      </c>
      <c r="W17" s="85" t="s">
        <v>700</v>
      </c>
      <c r="X17" s="85" t="s">
        <v>700</v>
      </c>
      <c r="Y17" s="85" t="s">
        <v>700</v>
      </c>
      <c r="Z17" s="85" t="s">
        <v>700</v>
      </c>
      <c r="AA17" s="82" t="s">
        <v>700</v>
      </c>
      <c r="AB17" s="8">
        <v>35</v>
      </c>
    </row>
    <row r="18" spans="4:28">
      <c r="D18" s="81" t="s">
        <v>703</v>
      </c>
      <c r="E18" s="85" t="s">
        <v>703</v>
      </c>
      <c r="F18" s="113" t="s">
        <v>703</v>
      </c>
      <c r="G18" s="113" t="s">
        <v>703</v>
      </c>
      <c r="H18" s="85" t="s">
        <v>703</v>
      </c>
      <c r="I18" s="85" t="s">
        <v>703</v>
      </c>
      <c r="J18" s="85" t="s">
        <v>703</v>
      </c>
      <c r="K18" s="85" t="s">
        <v>703</v>
      </c>
      <c r="L18" s="85" t="s">
        <v>703</v>
      </c>
      <c r="M18" s="85" t="s">
        <v>700</v>
      </c>
      <c r="N18" s="85" t="s">
        <v>704</v>
      </c>
      <c r="O18" s="85" t="s">
        <v>704</v>
      </c>
      <c r="P18" s="85" t="s">
        <v>704</v>
      </c>
      <c r="Q18" s="85" t="s">
        <v>704</v>
      </c>
      <c r="R18" s="85" t="s">
        <v>705</v>
      </c>
      <c r="S18" s="85" t="s">
        <v>705</v>
      </c>
      <c r="T18" s="85" t="s">
        <v>705</v>
      </c>
      <c r="U18" s="85" t="s">
        <v>700</v>
      </c>
      <c r="V18" s="85" t="s">
        <v>700</v>
      </c>
      <c r="W18" s="85" t="s">
        <v>700</v>
      </c>
      <c r="X18" s="85" t="s">
        <v>700</v>
      </c>
      <c r="Y18" s="85" t="s">
        <v>700</v>
      </c>
      <c r="Z18" s="85" t="s">
        <v>700</v>
      </c>
      <c r="AA18" s="82" t="s">
        <v>700</v>
      </c>
      <c r="AB18" s="8">
        <v>36</v>
      </c>
    </row>
    <row r="19" spans="4:28">
      <c r="D19" s="81" t="s">
        <v>697</v>
      </c>
      <c r="E19" s="85" t="s">
        <v>697</v>
      </c>
      <c r="F19" s="113" t="s">
        <v>697</v>
      </c>
      <c r="G19" s="113" t="s">
        <v>697</v>
      </c>
      <c r="H19" s="85" t="s">
        <v>697</v>
      </c>
      <c r="I19" s="85" t="s">
        <v>697</v>
      </c>
      <c r="J19" s="85" t="s">
        <v>697</v>
      </c>
      <c r="K19" s="85" t="s">
        <v>697</v>
      </c>
      <c r="L19" s="85" t="s">
        <v>697</v>
      </c>
      <c r="M19" s="85" t="s">
        <v>700</v>
      </c>
      <c r="N19" s="85" t="s">
        <v>706</v>
      </c>
      <c r="O19" s="85" t="s">
        <v>706</v>
      </c>
      <c r="P19" s="85" t="s">
        <v>706</v>
      </c>
      <c r="Q19" s="85" t="s">
        <v>706</v>
      </c>
      <c r="R19" s="85" t="s">
        <v>707</v>
      </c>
      <c r="S19" s="85" t="s">
        <v>707</v>
      </c>
      <c r="T19" s="85" t="s">
        <v>707</v>
      </c>
      <c r="U19" s="85" t="s">
        <v>700</v>
      </c>
      <c r="V19" s="85" t="s">
        <v>700</v>
      </c>
      <c r="W19" s="85" t="s">
        <v>700</v>
      </c>
      <c r="X19" s="85" t="s">
        <v>700</v>
      </c>
      <c r="Y19" s="85" t="s">
        <v>700</v>
      </c>
      <c r="Z19" s="85" t="s">
        <v>700</v>
      </c>
      <c r="AA19" s="82" t="s">
        <v>700</v>
      </c>
      <c r="AB19" s="8">
        <v>37</v>
      </c>
    </row>
    <row r="20" spans="4:28">
      <c r="D20" s="81" t="s">
        <v>698</v>
      </c>
      <c r="E20" s="85" t="s">
        <v>698</v>
      </c>
      <c r="F20" s="113" t="s">
        <v>698</v>
      </c>
      <c r="G20" s="113" t="s">
        <v>698</v>
      </c>
      <c r="H20" s="85" t="s">
        <v>698</v>
      </c>
      <c r="I20" s="85" t="s">
        <v>698</v>
      </c>
      <c r="J20" s="85" t="s">
        <v>698</v>
      </c>
      <c r="K20" s="85" t="s">
        <v>698</v>
      </c>
      <c r="L20" s="85" t="s">
        <v>698</v>
      </c>
      <c r="M20" s="85" t="s">
        <v>700</v>
      </c>
      <c r="N20" s="85" t="s">
        <v>708</v>
      </c>
      <c r="O20" s="85" t="s">
        <v>708</v>
      </c>
      <c r="P20" s="85" t="s">
        <v>708</v>
      </c>
      <c r="Q20" s="85" t="s">
        <v>708</v>
      </c>
      <c r="R20" s="85" t="s">
        <v>709</v>
      </c>
      <c r="S20" s="85" t="s">
        <v>709</v>
      </c>
      <c r="T20" s="85" t="s">
        <v>709</v>
      </c>
      <c r="U20" s="85" t="s">
        <v>700</v>
      </c>
      <c r="V20" s="85" t="s">
        <v>700</v>
      </c>
      <c r="W20" s="85" t="s">
        <v>700</v>
      </c>
      <c r="X20" s="85" t="s">
        <v>700</v>
      </c>
      <c r="Y20" s="85" t="s">
        <v>700</v>
      </c>
      <c r="Z20" s="85" t="s">
        <v>700</v>
      </c>
      <c r="AA20" s="82" t="s">
        <v>700</v>
      </c>
      <c r="AB20" s="8">
        <v>38</v>
      </c>
    </row>
    <row r="21" spans="4:28">
      <c r="D21" s="81" t="s">
        <v>710</v>
      </c>
      <c r="E21" s="85" t="s">
        <v>710</v>
      </c>
      <c r="F21" s="113" t="s">
        <v>710</v>
      </c>
      <c r="G21" s="113" t="s">
        <v>710</v>
      </c>
      <c r="H21" s="85" t="s">
        <v>710</v>
      </c>
      <c r="I21" s="85" t="s">
        <v>710</v>
      </c>
      <c r="J21" s="85" t="s">
        <v>710</v>
      </c>
      <c r="K21" s="85" t="s">
        <v>710</v>
      </c>
      <c r="L21" s="85" t="s">
        <v>710</v>
      </c>
      <c r="M21" s="85" t="s">
        <v>700</v>
      </c>
      <c r="N21" s="85" t="s">
        <v>711</v>
      </c>
      <c r="O21" s="85" t="s">
        <v>711</v>
      </c>
      <c r="P21" s="85" t="s">
        <v>711</v>
      </c>
      <c r="Q21" s="85" t="s">
        <v>711</v>
      </c>
      <c r="R21" s="85" t="s">
        <v>712</v>
      </c>
      <c r="S21" s="85" t="s">
        <v>712</v>
      </c>
      <c r="T21" s="85" t="s">
        <v>712</v>
      </c>
      <c r="U21" s="85" t="s">
        <v>700</v>
      </c>
      <c r="V21" s="85" t="s">
        <v>700</v>
      </c>
      <c r="W21" s="85" t="s">
        <v>700</v>
      </c>
      <c r="X21" s="85" t="s">
        <v>700</v>
      </c>
      <c r="Y21" s="85" t="s">
        <v>700</v>
      </c>
      <c r="Z21" s="85" t="s">
        <v>700</v>
      </c>
      <c r="AA21" s="82" t="s">
        <v>700</v>
      </c>
      <c r="AB21" s="8">
        <v>39</v>
      </c>
    </row>
    <row r="22" spans="4:28">
      <c r="D22" s="81" t="s">
        <v>713</v>
      </c>
      <c r="E22" s="85" t="s">
        <v>713</v>
      </c>
      <c r="F22" s="113" t="s">
        <v>713</v>
      </c>
      <c r="G22" s="113" t="s">
        <v>713</v>
      </c>
      <c r="H22" s="85" t="s">
        <v>713</v>
      </c>
      <c r="I22" s="85" t="s">
        <v>713</v>
      </c>
      <c r="J22" s="85" t="s">
        <v>713</v>
      </c>
      <c r="K22" s="85" t="s">
        <v>713</v>
      </c>
      <c r="L22" s="85" t="s">
        <v>713</v>
      </c>
      <c r="M22" s="85" t="s">
        <v>700</v>
      </c>
      <c r="N22" s="85" t="s">
        <v>714</v>
      </c>
      <c r="O22" s="85" t="s">
        <v>714</v>
      </c>
      <c r="P22" s="85" t="s">
        <v>714</v>
      </c>
      <c r="Q22" s="85" t="s">
        <v>714</v>
      </c>
      <c r="R22" s="85" t="s">
        <v>715</v>
      </c>
      <c r="S22" s="85" t="s">
        <v>715</v>
      </c>
      <c r="T22" s="85" t="s">
        <v>715</v>
      </c>
      <c r="U22" s="85" t="s">
        <v>700</v>
      </c>
      <c r="V22" s="85" t="s">
        <v>700</v>
      </c>
      <c r="W22" s="85" t="s">
        <v>700</v>
      </c>
      <c r="X22" s="85" t="s">
        <v>700</v>
      </c>
      <c r="Y22" s="85" t="s">
        <v>700</v>
      </c>
      <c r="Z22" s="85" t="s">
        <v>700</v>
      </c>
      <c r="AA22" s="82" t="s">
        <v>700</v>
      </c>
      <c r="AB22" s="8">
        <v>40</v>
      </c>
    </row>
    <row r="23" spans="4:28">
      <c r="D23" s="81" t="s">
        <v>716</v>
      </c>
      <c r="E23" s="85" t="s">
        <v>716</v>
      </c>
      <c r="F23" s="113" t="s">
        <v>716</v>
      </c>
      <c r="G23" s="113" t="s">
        <v>716</v>
      </c>
      <c r="H23" s="85" t="s">
        <v>716</v>
      </c>
      <c r="I23" s="85" t="s">
        <v>716</v>
      </c>
      <c r="J23" s="85" t="s">
        <v>716</v>
      </c>
      <c r="K23" s="85" t="s">
        <v>716</v>
      </c>
      <c r="L23" s="85" t="s">
        <v>716</v>
      </c>
      <c r="M23" s="85" t="s">
        <v>700</v>
      </c>
      <c r="N23" s="85" t="s">
        <v>717</v>
      </c>
      <c r="O23" s="85" t="s">
        <v>717</v>
      </c>
      <c r="P23" s="85" t="s">
        <v>717</v>
      </c>
      <c r="Q23" s="85" t="s">
        <v>717</v>
      </c>
      <c r="R23" s="85" t="s">
        <v>718</v>
      </c>
      <c r="S23" s="85" t="s">
        <v>718</v>
      </c>
      <c r="T23" s="85" t="s">
        <v>718</v>
      </c>
      <c r="U23" s="85" t="s">
        <v>700</v>
      </c>
      <c r="V23" s="85" t="s">
        <v>700</v>
      </c>
      <c r="W23" s="85" t="s">
        <v>700</v>
      </c>
      <c r="X23" s="85" t="s">
        <v>700</v>
      </c>
      <c r="Y23" s="85" t="s">
        <v>700</v>
      </c>
      <c r="Z23" s="85" t="s">
        <v>700</v>
      </c>
      <c r="AA23" s="82" t="s">
        <v>700</v>
      </c>
      <c r="AB23" s="8">
        <v>41</v>
      </c>
    </row>
    <row r="24" spans="4:28">
      <c r="D24" s="81" t="s">
        <v>716</v>
      </c>
      <c r="E24" s="85" t="s">
        <v>716</v>
      </c>
      <c r="F24" s="113" t="s">
        <v>716</v>
      </c>
      <c r="G24" s="113" t="s">
        <v>716</v>
      </c>
      <c r="H24" s="85" t="s">
        <v>716</v>
      </c>
      <c r="I24" s="85" t="s">
        <v>716</v>
      </c>
      <c r="J24" s="85" t="s">
        <v>716</v>
      </c>
      <c r="K24" s="85" t="s">
        <v>716</v>
      </c>
      <c r="L24" s="85" t="s">
        <v>716</v>
      </c>
      <c r="M24" s="85" t="s">
        <v>700</v>
      </c>
      <c r="N24" s="85" t="s">
        <v>712</v>
      </c>
      <c r="O24" s="85" t="s">
        <v>712</v>
      </c>
      <c r="P24" s="85" t="s">
        <v>712</v>
      </c>
      <c r="Q24" s="85" t="s">
        <v>712</v>
      </c>
      <c r="R24" s="85" t="s">
        <v>719</v>
      </c>
      <c r="S24" s="85" t="s">
        <v>719</v>
      </c>
      <c r="T24" s="85" t="s">
        <v>719</v>
      </c>
      <c r="U24" s="85" t="s">
        <v>700</v>
      </c>
      <c r="V24" s="85" t="s">
        <v>700</v>
      </c>
      <c r="W24" s="85" t="s">
        <v>700</v>
      </c>
      <c r="X24" s="85" t="s">
        <v>700</v>
      </c>
      <c r="Y24" s="85" t="s">
        <v>700</v>
      </c>
      <c r="Z24" s="85" t="s">
        <v>700</v>
      </c>
      <c r="AA24" s="82" t="s">
        <v>700</v>
      </c>
      <c r="AB24" s="8">
        <v>42</v>
      </c>
    </row>
    <row r="25" spans="4:28">
      <c r="D25" s="81" t="s">
        <v>716</v>
      </c>
      <c r="E25" s="85" t="s">
        <v>716</v>
      </c>
      <c r="F25" s="113" t="s">
        <v>716</v>
      </c>
      <c r="G25" s="113" t="s">
        <v>716</v>
      </c>
      <c r="H25" s="85" t="s">
        <v>716</v>
      </c>
      <c r="I25" s="85" t="s">
        <v>716</v>
      </c>
      <c r="J25" s="85" t="s">
        <v>716</v>
      </c>
      <c r="K25" s="85" t="s">
        <v>716</v>
      </c>
      <c r="L25" s="85" t="s">
        <v>716</v>
      </c>
      <c r="M25" s="85" t="s">
        <v>700</v>
      </c>
      <c r="N25" s="85" t="s">
        <v>720</v>
      </c>
      <c r="O25" s="85" t="s">
        <v>720</v>
      </c>
      <c r="P25" s="85" t="s">
        <v>720</v>
      </c>
      <c r="Q25" s="85" t="s">
        <v>720</v>
      </c>
      <c r="R25" s="85" t="s">
        <v>721</v>
      </c>
      <c r="S25" s="85" t="s">
        <v>721</v>
      </c>
      <c r="T25" s="85" t="s">
        <v>721</v>
      </c>
      <c r="U25" s="85" t="s">
        <v>700</v>
      </c>
      <c r="V25" s="85" t="s">
        <v>700</v>
      </c>
      <c r="W25" s="85" t="s">
        <v>700</v>
      </c>
      <c r="X25" s="85" t="s">
        <v>700</v>
      </c>
      <c r="Y25" s="85" t="s">
        <v>700</v>
      </c>
      <c r="Z25" s="85" t="s">
        <v>700</v>
      </c>
      <c r="AA25" s="82" t="s">
        <v>700</v>
      </c>
      <c r="AB25" s="8">
        <v>43</v>
      </c>
    </row>
    <row r="26" spans="4:28">
      <c r="D26" s="81" t="s">
        <v>716</v>
      </c>
      <c r="E26" s="85" t="s">
        <v>716</v>
      </c>
      <c r="F26" s="113" t="s">
        <v>716</v>
      </c>
      <c r="G26" s="113" t="s">
        <v>716</v>
      </c>
      <c r="H26" s="85" t="s">
        <v>716</v>
      </c>
      <c r="I26" s="85" t="s">
        <v>716</v>
      </c>
      <c r="J26" s="85" t="s">
        <v>716</v>
      </c>
      <c r="K26" s="85" t="s">
        <v>716</v>
      </c>
      <c r="L26" s="85" t="s">
        <v>716</v>
      </c>
      <c r="M26" s="85" t="s">
        <v>700</v>
      </c>
      <c r="N26" s="85" t="s">
        <v>722</v>
      </c>
      <c r="O26" s="85" t="s">
        <v>722</v>
      </c>
      <c r="P26" s="85" t="s">
        <v>722</v>
      </c>
      <c r="Q26" s="85" t="s">
        <v>722</v>
      </c>
      <c r="R26" s="85" t="s">
        <v>723</v>
      </c>
      <c r="S26" s="85" t="s">
        <v>723</v>
      </c>
      <c r="T26" s="85" t="s">
        <v>723</v>
      </c>
      <c r="U26" s="85" t="s">
        <v>700</v>
      </c>
      <c r="V26" s="85" t="s">
        <v>700</v>
      </c>
      <c r="W26" s="85" t="s">
        <v>700</v>
      </c>
      <c r="X26" s="85" t="s">
        <v>700</v>
      </c>
      <c r="Y26" s="85" t="s">
        <v>700</v>
      </c>
      <c r="Z26" s="85" t="s">
        <v>700</v>
      </c>
      <c r="AA26" s="82" t="s">
        <v>700</v>
      </c>
      <c r="AB26" s="8">
        <v>44</v>
      </c>
    </row>
    <row r="27" spans="4:28">
      <c r="D27" s="81" t="s">
        <v>716</v>
      </c>
      <c r="E27" s="85" t="s">
        <v>716</v>
      </c>
      <c r="F27" s="113" t="s">
        <v>716</v>
      </c>
      <c r="G27" s="113" t="s">
        <v>716</v>
      </c>
      <c r="H27" s="85" t="s">
        <v>716</v>
      </c>
      <c r="I27" s="85" t="s">
        <v>716</v>
      </c>
      <c r="J27" s="85" t="s">
        <v>716</v>
      </c>
      <c r="K27" s="85" t="s">
        <v>716</v>
      </c>
      <c r="L27" s="85" t="s">
        <v>716</v>
      </c>
      <c r="M27" s="85" t="s">
        <v>700</v>
      </c>
      <c r="N27" s="85" t="s">
        <v>718</v>
      </c>
      <c r="O27" s="85" t="s">
        <v>718</v>
      </c>
      <c r="P27" s="85" t="s">
        <v>718</v>
      </c>
      <c r="Q27" s="85" t="s">
        <v>718</v>
      </c>
      <c r="R27" s="85" t="s">
        <v>724</v>
      </c>
      <c r="S27" s="85" t="s">
        <v>724</v>
      </c>
      <c r="T27" s="85" t="s">
        <v>724</v>
      </c>
      <c r="U27" s="85" t="s">
        <v>700</v>
      </c>
      <c r="V27" s="85" t="s">
        <v>700</v>
      </c>
      <c r="W27" s="85" t="s">
        <v>700</v>
      </c>
      <c r="X27" s="85" t="s">
        <v>700</v>
      </c>
      <c r="Y27" s="85" t="s">
        <v>700</v>
      </c>
      <c r="Z27" s="85" t="s">
        <v>700</v>
      </c>
      <c r="AA27" s="82" t="s">
        <v>700</v>
      </c>
      <c r="AB27" s="8">
        <v>45</v>
      </c>
    </row>
    <row r="28" spans="4:28">
      <c r="D28" s="81" t="s">
        <v>716</v>
      </c>
      <c r="E28" s="85" t="s">
        <v>716</v>
      </c>
      <c r="F28" s="113" t="s">
        <v>716</v>
      </c>
      <c r="G28" s="113" t="s">
        <v>716</v>
      </c>
      <c r="H28" s="85" t="s">
        <v>716</v>
      </c>
      <c r="I28" s="85" t="s">
        <v>716</v>
      </c>
      <c r="J28" s="85" t="s">
        <v>716</v>
      </c>
      <c r="K28" s="85" t="s">
        <v>716</v>
      </c>
      <c r="L28" s="85" t="s">
        <v>716</v>
      </c>
      <c r="M28" s="85" t="s">
        <v>700</v>
      </c>
      <c r="N28" s="85" t="s">
        <v>725</v>
      </c>
      <c r="O28" s="85" t="s">
        <v>725</v>
      </c>
      <c r="P28" s="85" t="s">
        <v>725</v>
      </c>
      <c r="Q28" s="85" t="s">
        <v>725</v>
      </c>
      <c r="R28" s="85" t="s">
        <v>726</v>
      </c>
      <c r="S28" s="85" t="s">
        <v>726</v>
      </c>
      <c r="T28" s="85" t="s">
        <v>726</v>
      </c>
      <c r="U28" s="85" t="s">
        <v>700</v>
      </c>
      <c r="V28" s="85" t="s">
        <v>700</v>
      </c>
      <c r="W28" s="85" t="s">
        <v>700</v>
      </c>
      <c r="X28" s="85" t="s">
        <v>700</v>
      </c>
      <c r="Y28" s="85" t="s">
        <v>700</v>
      </c>
      <c r="Z28" s="85" t="s">
        <v>700</v>
      </c>
      <c r="AA28" s="82" t="s">
        <v>700</v>
      </c>
      <c r="AB28" s="8">
        <v>46</v>
      </c>
    </row>
    <row r="29" spans="4:28">
      <c r="D29" s="81" t="s">
        <v>716</v>
      </c>
      <c r="E29" s="85" t="s">
        <v>716</v>
      </c>
      <c r="F29" s="113" t="s">
        <v>716</v>
      </c>
      <c r="G29" s="113" t="s">
        <v>716</v>
      </c>
      <c r="H29" s="85" t="s">
        <v>716</v>
      </c>
      <c r="I29" s="85" t="s">
        <v>716</v>
      </c>
      <c r="J29" s="85" t="s">
        <v>716</v>
      </c>
      <c r="K29" s="85" t="s">
        <v>716</v>
      </c>
      <c r="L29" s="85" t="s">
        <v>716</v>
      </c>
      <c r="M29" s="85" t="s">
        <v>700</v>
      </c>
      <c r="N29" s="85" t="s">
        <v>723</v>
      </c>
      <c r="O29" s="85" t="s">
        <v>723</v>
      </c>
      <c r="P29" s="85" t="s">
        <v>723</v>
      </c>
      <c r="Q29" s="85" t="s">
        <v>723</v>
      </c>
      <c r="R29" s="85" t="s">
        <v>727</v>
      </c>
      <c r="S29" s="85" t="s">
        <v>727</v>
      </c>
      <c r="T29" s="85" t="s">
        <v>727</v>
      </c>
      <c r="U29" s="85" t="s">
        <v>700</v>
      </c>
      <c r="V29" s="85" t="s">
        <v>700</v>
      </c>
      <c r="W29" s="85" t="s">
        <v>700</v>
      </c>
      <c r="X29" s="85" t="s">
        <v>700</v>
      </c>
      <c r="Y29" s="85" t="s">
        <v>700</v>
      </c>
      <c r="Z29" s="85" t="s">
        <v>700</v>
      </c>
      <c r="AA29" s="82" t="s">
        <v>700</v>
      </c>
      <c r="AB29" s="8">
        <v>47</v>
      </c>
    </row>
    <row r="30" spans="4:28">
      <c r="D30" s="81" t="s">
        <v>716</v>
      </c>
      <c r="E30" s="85" t="s">
        <v>716</v>
      </c>
      <c r="F30" s="113" t="s">
        <v>716</v>
      </c>
      <c r="G30" s="113" t="s">
        <v>716</v>
      </c>
      <c r="H30" s="85" t="s">
        <v>716</v>
      </c>
      <c r="I30" s="85" t="s">
        <v>716</v>
      </c>
      <c r="J30" s="85" t="s">
        <v>716</v>
      </c>
      <c r="K30" s="85" t="s">
        <v>716</v>
      </c>
      <c r="L30" s="85" t="s">
        <v>716</v>
      </c>
      <c r="M30" s="85" t="s">
        <v>700</v>
      </c>
      <c r="N30" s="85" t="s">
        <v>727</v>
      </c>
      <c r="O30" s="85" t="s">
        <v>727</v>
      </c>
      <c r="P30" s="85" t="s">
        <v>727</v>
      </c>
      <c r="Q30" s="85" t="s">
        <v>727</v>
      </c>
      <c r="R30" s="85" t="s">
        <v>728</v>
      </c>
      <c r="S30" s="85" t="s">
        <v>728</v>
      </c>
      <c r="T30" s="85" t="s">
        <v>728</v>
      </c>
      <c r="U30" s="85" t="s">
        <v>700</v>
      </c>
      <c r="V30" s="85" t="s">
        <v>700</v>
      </c>
      <c r="W30" s="85" t="s">
        <v>700</v>
      </c>
      <c r="X30" s="85" t="s">
        <v>700</v>
      </c>
      <c r="Y30" s="85" t="s">
        <v>700</v>
      </c>
      <c r="Z30" s="85" t="s">
        <v>700</v>
      </c>
      <c r="AA30" s="82" t="s">
        <v>700</v>
      </c>
      <c r="AB30" s="8">
        <v>48</v>
      </c>
    </row>
    <row r="31" spans="4:28">
      <c r="D31" s="81" t="s">
        <v>716</v>
      </c>
      <c r="E31" s="85" t="s">
        <v>716</v>
      </c>
      <c r="F31" s="113" t="s">
        <v>716</v>
      </c>
      <c r="G31" s="113" t="s">
        <v>716</v>
      </c>
      <c r="H31" s="85" t="s">
        <v>716</v>
      </c>
      <c r="I31" s="85" t="s">
        <v>716</v>
      </c>
      <c r="J31" s="85" t="s">
        <v>716</v>
      </c>
      <c r="K31" s="85" t="s">
        <v>716</v>
      </c>
      <c r="L31" s="85" t="s">
        <v>716</v>
      </c>
      <c r="M31" s="85" t="s">
        <v>700</v>
      </c>
      <c r="N31" s="85" t="s">
        <v>729</v>
      </c>
      <c r="O31" s="85" t="s">
        <v>729</v>
      </c>
      <c r="P31" s="85" t="s">
        <v>729</v>
      </c>
      <c r="Q31" s="85" t="s">
        <v>729</v>
      </c>
      <c r="R31" s="85" t="s">
        <v>730</v>
      </c>
      <c r="S31" s="85" t="s">
        <v>730</v>
      </c>
      <c r="T31" s="85" t="s">
        <v>730</v>
      </c>
      <c r="U31" s="85" t="s">
        <v>700</v>
      </c>
      <c r="V31" s="85" t="s">
        <v>700</v>
      </c>
      <c r="W31" s="85" t="s">
        <v>700</v>
      </c>
      <c r="X31" s="85" t="s">
        <v>700</v>
      </c>
      <c r="Y31" s="85" t="s">
        <v>700</v>
      </c>
      <c r="Z31" s="85" t="s">
        <v>700</v>
      </c>
      <c r="AA31" s="82" t="s">
        <v>700</v>
      </c>
      <c r="AB31" s="8">
        <v>49</v>
      </c>
    </row>
    <row r="32" spans="4:28">
      <c r="D32" s="81" t="s">
        <v>716</v>
      </c>
      <c r="E32" s="85" t="s">
        <v>716</v>
      </c>
      <c r="F32" s="113" t="s">
        <v>716</v>
      </c>
      <c r="G32" s="113" t="s">
        <v>716</v>
      </c>
      <c r="H32" s="85" t="s">
        <v>716</v>
      </c>
      <c r="I32" s="85" t="s">
        <v>716</v>
      </c>
      <c r="J32" s="85" t="s">
        <v>716</v>
      </c>
      <c r="K32" s="85" t="s">
        <v>716</v>
      </c>
      <c r="L32" s="85" t="s">
        <v>716</v>
      </c>
      <c r="M32" s="85" t="s">
        <v>700</v>
      </c>
      <c r="N32" s="85" t="s">
        <v>731</v>
      </c>
      <c r="O32" s="85" t="s">
        <v>731</v>
      </c>
      <c r="P32" s="85" t="s">
        <v>731</v>
      </c>
      <c r="Q32" s="85" t="s">
        <v>731</v>
      </c>
      <c r="R32" s="85" t="s">
        <v>731</v>
      </c>
      <c r="S32" s="85" t="s">
        <v>731</v>
      </c>
      <c r="T32" s="85" t="s">
        <v>731</v>
      </c>
      <c r="U32" s="85" t="s">
        <v>700</v>
      </c>
      <c r="V32" s="85" t="s">
        <v>700</v>
      </c>
      <c r="W32" s="85" t="s">
        <v>700</v>
      </c>
      <c r="X32" s="85" t="s">
        <v>700</v>
      </c>
      <c r="Y32" s="85" t="s">
        <v>700</v>
      </c>
      <c r="Z32" s="85" t="s">
        <v>700</v>
      </c>
      <c r="AA32" s="82" t="s">
        <v>700</v>
      </c>
      <c r="AB32" s="8">
        <v>50</v>
      </c>
    </row>
    <row r="33" spans="4:28">
      <c r="D33" s="81" t="s">
        <v>716</v>
      </c>
      <c r="E33" s="85" t="s">
        <v>716</v>
      </c>
      <c r="F33" s="113" t="s">
        <v>716</v>
      </c>
      <c r="G33" s="113" t="s">
        <v>716</v>
      </c>
      <c r="H33" s="85" t="s">
        <v>716</v>
      </c>
      <c r="I33" s="85" t="s">
        <v>716</v>
      </c>
      <c r="J33" s="85" t="s">
        <v>716</v>
      </c>
      <c r="K33" s="85" t="s">
        <v>716</v>
      </c>
      <c r="L33" s="85" t="s">
        <v>716</v>
      </c>
      <c r="M33" s="85" t="s">
        <v>700</v>
      </c>
      <c r="N33" s="85" t="s">
        <v>732</v>
      </c>
      <c r="O33" s="85" t="s">
        <v>732</v>
      </c>
      <c r="P33" s="85" t="s">
        <v>732</v>
      </c>
      <c r="Q33" s="85" t="s">
        <v>732</v>
      </c>
      <c r="R33" s="85" t="s">
        <v>733</v>
      </c>
      <c r="S33" s="85" t="s">
        <v>733</v>
      </c>
      <c r="T33" s="85" t="s">
        <v>733</v>
      </c>
      <c r="U33" s="85" t="s">
        <v>700</v>
      </c>
      <c r="V33" s="85" t="s">
        <v>700</v>
      </c>
      <c r="W33" s="85" t="s">
        <v>700</v>
      </c>
      <c r="X33" s="85" t="s">
        <v>700</v>
      </c>
      <c r="Y33" s="85" t="s">
        <v>700</v>
      </c>
      <c r="Z33" s="85" t="s">
        <v>700</v>
      </c>
      <c r="AA33" s="82" t="s">
        <v>700</v>
      </c>
      <c r="AB33" s="8">
        <v>51</v>
      </c>
    </row>
    <row r="34" spans="4:28">
      <c r="D34" s="81" t="s">
        <v>716</v>
      </c>
      <c r="E34" s="85" t="s">
        <v>716</v>
      </c>
      <c r="F34" s="113" t="s">
        <v>716</v>
      </c>
      <c r="G34" s="113" t="s">
        <v>716</v>
      </c>
      <c r="H34" s="85" t="s">
        <v>716</v>
      </c>
      <c r="I34" s="85" t="s">
        <v>716</v>
      </c>
      <c r="J34" s="85" t="s">
        <v>716</v>
      </c>
      <c r="K34" s="85" t="s">
        <v>716</v>
      </c>
      <c r="L34" s="85" t="s">
        <v>716</v>
      </c>
      <c r="M34" s="85" t="s">
        <v>700</v>
      </c>
      <c r="N34" s="85" t="s">
        <v>734</v>
      </c>
      <c r="O34" s="85" t="s">
        <v>734</v>
      </c>
      <c r="P34" s="85" t="s">
        <v>734</v>
      </c>
      <c r="Q34" s="85" t="s">
        <v>734</v>
      </c>
      <c r="R34" s="85" t="s">
        <v>735</v>
      </c>
      <c r="S34" s="85" t="s">
        <v>735</v>
      </c>
      <c r="T34" s="85" t="s">
        <v>735</v>
      </c>
      <c r="U34" s="85" t="s">
        <v>700</v>
      </c>
      <c r="V34" s="85" t="s">
        <v>700</v>
      </c>
      <c r="W34" s="85" t="s">
        <v>700</v>
      </c>
      <c r="X34" s="85" t="s">
        <v>700</v>
      </c>
      <c r="Y34" s="85" t="s">
        <v>700</v>
      </c>
      <c r="Z34" s="85" t="s">
        <v>700</v>
      </c>
      <c r="AA34" s="82" t="s">
        <v>700</v>
      </c>
      <c r="AB34" s="8">
        <v>52</v>
      </c>
    </row>
    <row r="35" spans="4:28">
      <c r="D35" s="81" t="s">
        <v>716</v>
      </c>
      <c r="E35" s="85" t="s">
        <v>716</v>
      </c>
      <c r="F35" s="113" t="s">
        <v>716</v>
      </c>
      <c r="G35" s="113" t="s">
        <v>716</v>
      </c>
      <c r="H35" s="85" t="s">
        <v>716</v>
      </c>
      <c r="I35" s="85" t="s">
        <v>716</v>
      </c>
      <c r="J35" s="85" t="s">
        <v>716</v>
      </c>
      <c r="K35" s="85" t="s">
        <v>716</v>
      </c>
      <c r="L35" s="85" t="s">
        <v>716</v>
      </c>
      <c r="M35" s="85" t="s">
        <v>700</v>
      </c>
      <c r="N35" s="85" t="s">
        <v>736</v>
      </c>
      <c r="O35" s="85" t="s">
        <v>736</v>
      </c>
      <c r="P35" s="85" t="s">
        <v>736</v>
      </c>
      <c r="Q35" s="85" t="s">
        <v>736</v>
      </c>
      <c r="R35" s="85" t="s">
        <v>737</v>
      </c>
      <c r="S35" s="85" t="s">
        <v>737</v>
      </c>
      <c r="T35" s="85" t="s">
        <v>737</v>
      </c>
      <c r="U35" s="85" t="s">
        <v>700</v>
      </c>
      <c r="V35" s="85" t="s">
        <v>700</v>
      </c>
      <c r="W35" s="85" t="s">
        <v>700</v>
      </c>
      <c r="X35" s="85" t="s">
        <v>700</v>
      </c>
      <c r="Y35" s="85" t="s">
        <v>700</v>
      </c>
      <c r="Z35" s="85" t="s">
        <v>700</v>
      </c>
      <c r="AA35" s="82" t="s">
        <v>700</v>
      </c>
      <c r="AB35" s="8">
        <v>53</v>
      </c>
    </row>
    <row r="36" spans="4:28">
      <c r="D36" s="81" t="s">
        <v>716</v>
      </c>
      <c r="E36" s="85" t="s">
        <v>716</v>
      </c>
      <c r="F36" s="113" t="s">
        <v>716</v>
      </c>
      <c r="G36" s="113" t="s">
        <v>716</v>
      </c>
      <c r="H36" s="85" t="s">
        <v>716</v>
      </c>
      <c r="I36" s="85" t="s">
        <v>716</v>
      </c>
      <c r="J36" s="85" t="s">
        <v>716</v>
      </c>
      <c r="K36" s="85" t="s">
        <v>716</v>
      </c>
      <c r="L36" s="85" t="s">
        <v>716</v>
      </c>
      <c r="M36" s="85" t="s">
        <v>700</v>
      </c>
      <c r="N36" s="85" t="s">
        <v>738</v>
      </c>
      <c r="O36" s="85" t="s">
        <v>738</v>
      </c>
      <c r="P36" s="85" t="s">
        <v>738</v>
      </c>
      <c r="Q36" s="85" t="s">
        <v>738</v>
      </c>
      <c r="R36" s="85" t="s">
        <v>739</v>
      </c>
      <c r="S36" s="85" t="s">
        <v>739</v>
      </c>
      <c r="T36" s="85" t="s">
        <v>739</v>
      </c>
      <c r="U36" s="85" t="s">
        <v>700</v>
      </c>
      <c r="V36" s="85" t="s">
        <v>700</v>
      </c>
      <c r="W36" s="85" t="s">
        <v>700</v>
      </c>
      <c r="X36" s="85" t="s">
        <v>700</v>
      </c>
      <c r="Y36" s="85" t="s">
        <v>700</v>
      </c>
      <c r="Z36" s="85" t="s">
        <v>700</v>
      </c>
      <c r="AA36" s="82" t="s">
        <v>700</v>
      </c>
      <c r="AB36" s="8">
        <v>54</v>
      </c>
    </row>
    <row r="37" spans="4:28">
      <c r="D37" s="81" t="s">
        <v>716</v>
      </c>
      <c r="E37" s="85" t="s">
        <v>716</v>
      </c>
      <c r="F37" s="113" t="s">
        <v>716</v>
      </c>
      <c r="G37" s="113" t="s">
        <v>716</v>
      </c>
      <c r="H37" s="85" t="s">
        <v>716</v>
      </c>
      <c r="I37" s="85" t="s">
        <v>716</v>
      </c>
      <c r="J37" s="85" t="s">
        <v>716</v>
      </c>
      <c r="K37" s="85" t="s">
        <v>716</v>
      </c>
      <c r="L37" s="85" t="s">
        <v>716</v>
      </c>
      <c r="M37" s="85" t="s">
        <v>700</v>
      </c>
      <c r="N37" s="85" t="s">
        <v>738</v>
      </c>
      <c r="O37" s="85" t="s">
        <v>738</v>
      </c>
      <c r="P37" s="85" t="s">
        <v>738</v>
      </c>
      <c r="Q37" s="85" t="s">
        <v>738</v>
      </c>
      <c r="R37" s="85" t="s">
        <v>740</v>
      </c>
      <c r="S37" s="85" t="s">
        <v>740</v>
      </c>
      <c r="T37" s="85" t="s">
        <v>740</v>
      </c>
      <c r="U37" s="85" t="s">
        <v>700</v>
      </c>
      <c r="V37" s="85" t="s">
        <v>700</v>
      </c>
      <c r="W37" s="85" t="s">
        <v>700</v>
      </c>
      <c r="X37" s="85" t="s">
        <v>700</v>
      </c>
      <c r="Y37" s="85" t="s">
        <v>700</v>
      </c>
      <c r="Z37" s="85" t="s">
        <v>700</v>
      </c>
      <c r="AA37" s="82" t="s">
        <v>700</v>
      </c>
      <c r="AB37" s="8">
        <v>55</v>
      </c>
    </row>
    <row r="38" spans="4:28">
      <c r="D38" s="81" t="s">
        <v>716</v>
      </c>
      <c r="E38" s="85" t="s">
        <v>716</v>
      </c>
      <c r="F38" s="113" t="s">
        <v>716</v>
      </c>
      <c r="G38" s="113" t="s">
        <v>716</v>
      </c>
      <c r="H38" s="85" t="s">
        <v>716</v>
      </c>
      <c r="I38" s="85" t="s">
        <v>716</v>
      </c>
      <c r="J38" s="85" t="s">
        <v>716</v>
      </c>
      <c r="K38" s="85" t="s">
        <v>716</v>
      </c>
      <c r="L38" s="85" t="s">
        <v>716</v>
      </c>
      <c r="M38" s="85" t="s">
        <v>700</v>
      </c>
      <c r="N38" s="85" t="s">
        <v>738</v>
      </c>
      <c r="O38" s="85" t="s">
        <v>738</v>
      </c>
      <c r="P38" s="85" t="s">
        <v>738</v>
      </c>
      <c r="Q38" s="85" t="s">
        <v>738</v>
      </c>
      <c r="R38" s="85" t="s">
        <v>741</v>
      </c>
      <c r="S38" s="85" t="s">
        <v>741</v>
      </c>
      <c r="T38" s="85" t="s">
        <v>741</v>
      </c>
      <c r="U38" s="85" t="s">
        <v>700</v>
      </c>
      <c r="V38" s="85" t="s">
        <v>700</v>
      </c>
      <c r="W38" s="85" t="s">
        <v>700</v>
      </c>
      <c r="X38" s="85" t="s">
        <v>700</v>
      </c>
      <c r="Y38" s="85" t="s">
        <v>700</v>
      </c>
      <c r="Z38" s="85" t="s">
        <v>700</v>
      </c>
      <c r="AA38" s="82" t="s">
        <v>700</v>
      </c>
      <c r="AB38" s="8">
        <v>56</v>
      </c>
    </row>
    <row r="39" spans="4:28">
      <c r="D39" s="81" t="s">
        <v>716</v>
      </c>
      <c r="E39" s="85" t="s">
        <v>716</v>
      </c>
      <c r="F39" s="113" t="s">
        <v>716</v>
      </c>
      <c r="G39" s="113" t="s">
        <v>716</v>
      </c>
      <c r="H39" s="85" t="s">
        <v>716</v>
      </c>
      <c r="I39" s="85" t="s">
        <v>716</v>
      </c>
      <c r="J39" s="85" t="s">
        <v>716</v>
      </c>
      <c r="K39" s="85" t="s">
        <v>716</v>
      </c>
      <c r="L39" s="85" t="s">
        <v>716</v>
      </c>
      <c r="M39" s="85" t="s">
        <v>700</v>
      </c>
      <c r="N39" s="85" t="s">
        <v>738</v>
      </c>
      <c r="O39" s="85" t="s">
        <v>738</v>
      </c>
      <c r="P39" s="85" t="s">
        <v>738</v>
      </c>
      <c r="Q39" s="85" t="s">
        <v>738</v>
      </c>
      <c r="R39" s="85" t="s">
        <v>742</v>
      </c>
      <c r="S39" s="85" t="s">
        <v>742</v>
      </c>
      <c r="T39" s="85" t="s">
        <v>742</v>
      </c>
      <c r="U39" s="85" t="s">
        <v>700</v>
      </c>
      <c r="V39" s="85" t="s">
        <v>700</v>
      </c>
      <c r="W39" s="85" t="s">
        <v>700</v>
      </c>
      <c r="X39" s="85" t="s">
        <v>700</v>
      </c>
      <c r="Y39" s="85" t="s">
        <v>700</v>
      </c>
      <c r="Z39" s="85" t="s">
        <v>700</v>
      </c>
      <c r="AA39" s="82" t="s">
        <v>700</v>
      </c>
      <c r="AB39" s="8">
        <v>57</v>
      </c>
    </row>
    <row r="40" spans="4:28">
      <c r="D40" s="81" t="s">
        <v>716</v>
      </c>
      <c r="E40" s="85" t="s">
        <v>716</v>
      </c>
      <c r="F40" s="113" t="s">
        <v>716</v>
      </c>
      <c r="G40" s="113" t="s">
        <v>716</v>
      </c>
      <c r="H40" s="85" t="s">
        <v>716</v>
      </c>
      <c r="I40" s="85" t="s">
        <v>716</v>
      </c>
      <c r="J40" s="85" t="s">
        <v>716</v>
      </c>
      <c r="K40" s="85" t="s">
        <v>716</v>
      </c>
      <c r="L40" s="85" t="s">
        <v>716</v>
      </c>
      <c r="M40" s="85" t="s">
        <v>700</v>
      </c>
      <c r="N40" s="85" t="s">
        <v>738</v>
      </c>
      <c r="O40" s="85" t="s">
        <v>738</v>
      </c>
      <c r="P40" s="85" t="s">
        <v>738</v>
      </c>
      <c r="Q40" s="85" t="s">
        <v>738</v>
      </c>
      <c r="R40" s="85" t="s">
        <v>743</v>
      </c>
      <c r="S40" s="85" t="s">
        <v>743</v>
      </c>
      <c r="T40" s="85" t="s">
        <v>743</v>
      </c>
      <c r="U40" s="85" t="s">
        <v>700</v>
      </c>
      <c r="V40" s="85" t="s">
        <v>700</v>
      </c>
      <c r="W40" s="85" t="s">
        <v>700</v>
      </c>
      <c r="X40" s="85" t="s">
        <v>700</v>
      </c>
      <c r="Y40" s="85" t="s">
        <v>700</v>
      </c>
      <c r="Z40" s="85" t="s">
        <v>700</v>
      </c>
      <c r="AA40" s="82" t="s">
        <v>700</v>
      </c>
      <c r="AB40" s="8">
        <v>58</v>
      </c>
    </row>
    <row r="41" spans="4:28">
      <c r="D41" s="81" t="s">
        <v>716</v>
      </c>
      <c r="E41" s="85" t="s">
        <v>716</v>
      </c>
      <c r="F41" s="113" t="s">
        <v>716</v>
      </c>
      <c r="G41" s="113" t="s">
        <v>716</v>
      </c>
      <c r="H41" s="85" t="s">
        <v>716</v>
      </c>
      <c r="I41" s="85" t="s">
        <v>716</v>
      </c>
      <c r="J41" s="85" t="s">
        <v>716</v>
      </c>
      <c r="K41" s="85" t="s">
        <v>716</v>
      </c>
      <c r="L41" s="85" t="s">
        <v>716</v>
      </c>
      <c r="M41" s="85" t="s">
        <v>700</v>
      </c>
      <c r="N41" s="85" t="s">
        <v>738</v>
      </c>
      <c r="O41" s="85" t="s">
        <v>738</v>
      </c>
      <c r="P41" s="85" t="s">
        <v>738</v>
      </c>
      <c r="Q41" s="85" t="s">
        <v>738</v>
      </c>
      <c r="R41" s="85" t="s">
        <v>743</v>
      </c>
      <c r="S41" s="85" t="s">
        <v>743</v>
      </c>
      <c r="T41" s="85" t="s">
        <v>743</v>
      </c>
      <c r="U41" s="85" t="s">
        <v>700</v>
      </c>
      <c r="V41" s="85" t="s">
        <v>700</v>
      </c>
      <c r="W41" s="85" t="s">
        <v>700</v>
      </c>
      <c r="X41" s="85" t="s">
        <v>700</v>
      </c>
      <c r="Y41" s="85" t="s">
        <v>700</v>
      </c>
      <c r="Z41" s="85" t="s">
        <v>700</v>
      </c>
      <c r="AA41" s="82" t="s">
        <v>700</v>
      </c>
      <c r="AB41" s="8">
        <v>59</v>
      </c>
    </row>
    <row r="42" spans="4:28">
      <c r="D42" s="81" t="s">
        <v>716</v>
      </c>
      <c r="E42" s="85" t="s">
        <v>716</v>
      </c>
      <c r="F42" s="113" t="s">
        <v>716</v>
      </c>
      <c r="G42" s="113" t="s">
        <v>716</v>
      </c>
      <c r="H42" s="85" t="s">
        <v>716</v>
      </c>
      <c r="I42" s="85" t="s">
        <v>716</v>
      </c>
      <c r="J42" s="85" t="s">
        <v>716</v>
      </c>
      <c r="K42" s="85" t="s">
        <v>716</v>
      </c>
      <c r="L42" s="85" t="s">
        <v>716</v>
      </c>
      <c r="M42" s="85" t="s">
        <v>700</v>
      </c>
      <c r="N42" s="85" t="s">
        <v>738</v>
      </c>
      <c r="O42" s="85" t="s">
        <v>738</v>
      </c>
      <c r="P42" s="85" t="s">
        <v>738</v>
      </c>
      <c r="Q42" s="85" t="s">
        <v>738</v>
      </c>
      <c r="R42" s="85" t="s">
        <v>743</v>
      </c>
      <c r="S42" s="85" t="s">
        <v>743</v>
      </c>
      <c r="T42" s="85" t="s">
        <v>743</v>
      </c>
      <c r="U42" s="85" t="s">
        <v>700</v>
      </c>
      <c r="V42" s="85" t="s">
        <v>700</v>
      </c>
      <c r="W42" s="85" t="s">
        <v>700</v>
      </c>
      <c r="X42" s="85" t="s">
        <v>700</v>
      </c>
      <c r="Y42" s="85" t="s">
        <v>700</v>
      </c>
      <c r="Z42" s="85" t="s">
        <v>700</v>
      </c>
      <c r="AA42" s="82" t="s">
        <v>700</v>
      </c>
      <c r="AB42" s="8">
        <v>60</v>
      </c>
    </row>
    <row r="43" spans="4:28">
      <c r="D43" s="81" t="s">
        <v>716</v>
      </c>
      <c r="E43" s="85" t="s">
        <v>716</v>
      </c>
      <c r="F43" s="113" t="s">
        <v>716</v>
      </c>
      <c r="G43" s="113" t="s">
        <v>716</v>
      </c>
      <c r="H43" s="85" t="s">
        <v>716</v>
      </c>
      <c r="I43" s="85" t="s">
        <v>716</v>
      </c>
      <c r="J43" s="85" t="s">
        <v>716</v>
      </c>
      <c r="K43" s="85" t="s">
        <v>716</v>
      </c>
      <c r="L43" s="85" t="s">
        <v>716</v>
      </c>
      <c r="M43" s="85" t="s">
        <v>700</v>
      </c>
      <c r="N43" s="85" t="s">
        <v>738</v>
      </c>
      <c r="O43" s="85" t="s">
        <v>738</v>
      </c>
      <c r="P43" s="85" t="s">
        <v>738</v>
      </c>
      <c r="Q43" s="85" t="s">
        <v>738</v>
      </c>
      <c r="R43" s="85" t="s">
        <v>743</v>
      </c>
      <c r="S43" s="85" t="s">
        <v>743</v>
      </c>
      <c r="T43" s="85" t="s">
        <v>743</v>
      </c>
      <c r="U43" s="85" t="s">
        <v>700</v>
      </c>
      <c r="V43" s="85" t="s">
        <v>700</v>
      </c>
      <c r="W43" s="85" t="s">
        <v>700</v>
      </c>
      <c r="X43" s="85" t="s">
        <v>700</v>
      </c>
      <c r="Y43" s="85" t="s">
        <v>700</v>
      </c>
      <c r="Z43" s="85" t="s">
        <v>700</v>
      </c>
      <c r="AA43" s="82" t="s">
        <v>700</v>
      </c>
      <c r="AB43" s="8">
        <v>61</v>
      </c>
    </row>
    <row r="44" spans="4:28" ht="14.25" thickBot="1">
      <c r="D44" s="114" t="s">
        <v>716</v>
      </c>
      <c r="E44" s="115" t="s">
        <v>716</v>
      </c>
      <c r="F44" s="116" t="s">
        <v>716</v>
      </c>
      <c r="G44" s="116" t="s">
        <v>716</v>
      </c>
      <c r="H44" s="115" t="s">
        <v>716</v>
      </c>
      <c r="I44" s="115" t="s">
        <v>716</v>
      </c>
      <c r="J44" s="115" t="s">
        <v>716</v>
      </c>
      <c r="K44" s="115" t="s">
        <v>716</v>
      </c>
      <c r="L44" s="115" t="s">
        <v>716</v>
      </c>
      <c r="M44" s="115" t="s">
        <v>700</v>
      </c>
      <c r="N44" s="115" t="s">
        <v>738</v>
      </c>
      <c r="O44" s="115" t="s">
        <v>738</v>
      </c>
      <c r="P44" s="115" t="s">
        <v>738</v>
      </c>
      <c r="Q44" s="115" t="s">
        <v>738</v>
      </c>
      <c r="R44" s="115" t="s">
        <v>743</v>
      </c>
      <c r="S44" s="115" t="s">
        <v>743</v>
      </c>
      <c r="T44" s="115" t="s">
        <v>743</v>
      </c>
      <c r="U44" s="115" t="s">
        <v>700</v>
      </c>
      <c r="V44" s="115" t="s">
        <v>700</v>
      </c>
      <c r="W44" s="115" t="s">
        <v>700</v>
      </c>
      <c r="X44" s="115" t="s">
        <v>700</v>
      </c>
      <c r="Y44" s="115" t="s">
        <v>700</v>
      </c>
      <c r="Z44" s="115" t="s">
        <v>700</v>
      </c>
      <c r="AA44" s="117" t="s">
        <v>700</v>
      </c>
      <c r="AB44" s="8">
        <v>62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zoomScale="70" zoomScaleNormal="70" workbookViewId="0"/>
  </sheetViews>
  <sheetFormatPr defaultColWidth="12.42578125" defaultRowHeight="13.5"/>
  <cols>
    <col min="1" max="1" width="17" style="48" bestFit="1" customWidth="1"/>
    <col min="2" max="2" width="13.5703125" style="47" bestFit="1" customWidth="1"/>
    <col min="3" max="84" width="10.28515625" style="48" customWidth="1"/>
    <col min="85" max="87" width="18.28515625" style="48" bestFit="1" customWidth="1"/>
    <col min="88" max="88" width="25.28515625" style="48" bestFit="1" customWidth="1"/>
    <col min="89" max="89" width="9" style="48" bestFit="1" customWidth="1"/>
    <col min="90" max="90" width="14.7109375" style="48" bestFit="1" customWidth="1"/>
    <col min="91" max="16384" width="12.42578125" style="48"/>
  </cols>
  <sheetData>
    <row r="1" spans="1:85" ht="14.25" thickBot="1">
      <c r="A1" s="47" t="s">
        <v>8</v>
      </c>
      <c r="B1" s="47" t="s">
        <v>9</v>
      </c>
      <c r="E1" s="34"/>
      <c r="F1" s="35" t="s">
        <v>583</v>
      </c>
    </row>
    <row r="2" spans="1:85" ht="14.25" thickBot="1">
      <c r="A2" s="47" t="s">
        <v>10</v>
      </c>
      <c r="B2" s="47" t="s">
        <v>11</v>
      </c>
      <c r="C2" s="49">
        <f t="shared" ref="C2:AH2" si="0">IF(D11&lt;&gt;0,D2+D5/1000,0)</f>
        <v>81.615999999999985</v>
      </c>
      <c r="D2" s="49">
        <f t="shared" si="0"/>
        <v>78.260999999999981</v>
      </c>
      <c r="E2" s="49">
        <f t="shared" si="0"/>
        <v>75.260999999999981</v>
      </c>
      <c r="F2" s="49">
        <f t="shared" si="0"/>
        <v>73.749999999999986</v>
      </c>
      <c r="G2" s="49">
        <f t="shared" si="0"/>
        <v>71.759999999999991</v>
      </c>
      <c r="H2" s="49">
        <f t="shared" si="0"/>
        <v>68.262999999999991</v>
      </c>
      <c r="I2" s="49">
        <f t="shared" si="0"/>
        <v>66.262999999999991</v>
      </c>
      <c r="J2" s="49">
        <f t="shared" si="0"/>
        <v>64.262999999999991</v>
      </c>
      <c r="K2" s="49">
        <f t="shared" si="0"/>
        <v>61.505999999999993</v>
      </c>
      <c r="L2" s="49">
        <f t="shared" si="0"/>
        <v>58.486999999999995</v>
      </c>
      <c r="M2" s="49">
        <f t="shared" si="0"/>
        <v>55.417999999999992</v>
      </c>
      <c r="N2" s="49">
        <f t="shared" si="0"/>
        <v>52.260999999999996</v>
      </c>
      <c r="O2" s="49">
        <f t="shared" si="0"/>
        <v>49.262999999999998</v>
      </c>
      <c r="P2" s="49">
        <f t="shared" si="0"/>
        <v>46.774000000000001</v>
      </c>
      <c r="Q2" s="49">
        <f t="shared" si="0"/>
        <v>45.752000000000002</v>
      </c>
      <c r="R2" s="49">
        <f t="shared" si="0"/>
        <v>44.25</v>
      </c>
      <c r="S2" s="49">
        <f t="shared" si="0"/>
        <v>41.994999999999997</v>
      </c>
      <c r="T2" s="49">
        <f t="shared" si="0"/>
        <v>39.512999999999998</v>
      </c>
      <c r="U2" s="49">
        <f t="shared" si="0"/>
        <v>37.275999999999996</v>
      </c>
      <c r="V2" s="49">
        <f t="shared" si="0"/>
        <v>35.762999999999998</v>
      </c>
      <c r="W2" s="49">
        <f t="shared" si="0"/>
        <v>33.765000000000001</v>
      </c>
      <c r="X2" s="49">
        <f t="shared" si="0"/>
        <v>31.762999999999998</v>
      </c>
      <c r="Y2" s="49">
        <f t="shared" si="0"/>
        <v>30.225999999999999</v>
      </c>
      <c r="Z2" s="49">
        <f t="shared" si="0"/>
        <v>28.768999999999998</v>
      </c>
      <c r="AA2" s="49">
        <f t="shared" si="0"/>
        <v>27.204999999999998</v>
      </c>
      <c r="AB2" s="49">
        <f t="shared" si="0"/>
        <v>25.828999999999997</v>
      </c>
      <c r="AC2" s="49">
        <f t="shared" si="0"/>
        <v>24.493999999999996</v>
      </c>
      <c r="AD2" s="49">
        <f t="shared" si="0"/>
        <v>22.993999999999996</v>
      </c>
      <c r="AE2" s="49">
        <f t="shared" si="0"/>
        <v>19.994999999999997</v>
      </c>
      <c r="AF2" s="49">
        <f t="shared" si="0"/>
        <v>17.498999999999999</v>
      </c>
      <c r="AG2" s="49">
        <f t="shared" si="0"/>
        <v>16.11</v>
      </c>
      <c r="AH2" s="49">
        <f t="shared" si="0"/>
        <v>13.998999999999999</v>
      </c>
      <c r="AI2" s="49">
        <f t="shared" ref="AI2:BN2" si="1">IF(AJ11&lt;&gt;0,AJ2+AJ5/1000,0)</f>
        <v>12.001999999999999</v>
      </c>
      <c r="AJ2" s="49">
        <f t="shared" si="1"/>
        <v>10.497999999999999</v>
      </c>
      <c r="AK2" s="49">
        <f t="shared" si="1"/>
        <v>8.9870000000000001</v>
      </c>
      <c r="AL2" s="49">
        <f t="shared" si="1"/>
        <v>8.016</v>
      </c>
      <c r="AM2" s="49">
        <f t="shared" si="1"/>
        <v>6.47</v>
      </c>
      <c r="AN2" s="49">
        <f t="shared" si="1"/>
        <v>5.0259999999999998</v>
      </c>
      <c r="AO2" s="49">
        <f t="shared" si="1"/>
        <v>3.5149999999999997</v>
      </c>
      <c r="AP2" s="49">
        <f t="shared" si="1"/>
        <v>2</v>
      </c>
      <c r="AQ2" s="49">
        <f t="shared" si="1"/>
        <v>0</v>
      </c>
      <c r="AR2" s="49">
        <f t="shared" si="1"/>
        <v>0</v>
      </c>
      <c r="AS2" s="49">
        <f t="shared" si="1"/>
        <v>3.6239999999999997</v>
      </c>
      <c r="AT2" s="49">
        <f t="shared" si="1"/>
        <v>1.3240000000000001</v>
      </c>
      <c r="AU2" s="49">
        <f t="shared" si="1"/>
        <v>0</v>
      </c>
      <c r="AV2" s="49">
        <f t="shared" si="1"/>
        <v>0</v>
      </c>
      <c r="AW2" s="49">
        <f t="shared" si="1"/>
        <v>3.7909999999999999</v>
      </c>
      <c r="AX2" s="49">
        <f t="shared" si="1"/>
        <v>1.21</v>
      </c>
      <c r="AY2" s="49">
        <f t="shared" si="1"/>
        <v>0</v>
      </c>
      <c r="AZ2" s="49">
        <f t="shared" si="1"/>
        <v>0</v>
      </c>
      <c r="BA2" s="49">
        <f t="shared" si="1"/>
        <v>3.0049999999999999</v>
      </c>
      <c r="BB2" s="49">
        <f t="shared" si="1"/>
        <v>1.498</v>
      </c>
      <c r="BC2" s="49">
        <f t="shared" si="1"/>
        <v>0</v>
      </c>
      <c r="BD2" s="49">
        <f t="shared" si="1"/>
        <v>0</v>
      </c>
      <c r="BE2" s="49">
        <f t="shared" si="1"/>
        <v>20.268000000000001</v>
      </c>
      <c r="BF2" s="49">
        <f t="shared" si="1"/>
        <v>15.228999999999999</v>
      </c>
      <c r="BG2" s="49">
        <f t="shared" si="1"/>
        <v>13.228999999999999</v>
      </c>
      <c r="BH2" s="49">
        <f t="shared" si="1"/>
        <v>11.227</v>
      </c>
      <c r="BI2" s="49">
        <f t="shared" si="1"/>
        <v>7.73</v>
      </c>
      <c r="BJ2" s="49">
        <f t="shared" si="1"/>
        <v>6.229000000000001</v>
      </c>
      <c r="BK2" s="49">
        <f t="shared" si="1"/>
        <v>4.0680000000000005</v>
      </c>
      <c r="BL2" s="49">
        <f t="shared" si="1"/>
        <v>1.7190000000000001</v>
      </c>
      <c r="BM2" s="49">
        <f t="shared" si="1"/>
        <v>0</v>
      </c>
      <c r="BN2" s="49">
        <f t="shared" si="1"/>
        <v>0</v>
      </c>
      <c r="BO2" s="49">
        <f t="shared" ref="BO2:CE2" si="2">IF(BP11&lt;&gt;0,BP2+BP5/1000,0)</f>
        <v>11.095000000000001</v>
      </c>
      <c r="BP2" s="49">
        <f t="shared" si="2"/>
        <v>4.9350000000000005</v>
      </c>
      <c r="BQ2" s="49">
        <f t="shared" si="2"/>
        <v>3.4580000000000002</v>
      </c>
      <c r="BR2" s="49">
        <f t="shared" si="2"/>
        <v>1.9770000000000001</v>
      </c>
      <c r="BS2" s="49">
        <f t="shared" si="2"/>
        <v>0</v>
      </c>
      <c r="BT2" s="49">
        <f t="shared" si="2"/>
        <v>0</v>
      </c>
      <c r="BU2" s="49">
        <f t="shared" si="2"/>
        <v>2.645</v>
      </c>
      <c r="BV2" s="49">
        <f t="shared" si="2"/>
        <v>0.97</v>
      </c>
      <c r="BW2" s="49">
        <f t="shared" si="2"/>
        <v>0</v>
      </c>
      <c r="BX2" s="49">
        <f t="shared" si="2"/>
        <v>0</v>
      </c>
      <c r="BY2" s="49">
        <f t="shared" si="2"/>
        <v>6.7720000000000002</v>
      </c>
      <c r="BZ2" s="49">
        <f t="shared" si="2"/>
        <v>3.02</v>
      </c>
      <c r="CA2" s="49">
        <f t="shared" si="2"/>
        <v>0</v>
      </c>
      <c r="CB2" s="49">
        <f t="shared" si="2"/>
        <v>0</v>
      </c>
      <c r="CC2" s="49">
        <f t="shared" si="2"/>
        <v>6.7490000000000006</v>
      </c>
      <c r="CD2" s="49">
        <f t="shared" si="2"/>
        <v>2.8740000000000001</v>
      </c>
      <c r="CE2" s="49">
        <f t="shared" si="2"/>
        <v>0</v>
      </c>
      <c r="CF2" s="49">
        <v>0</v>
      </c>
    </row>
    <row r="3" spans="1:85">
      <c r="A3" s="50" t="s">
        <v>12</v>
      </c>
      <c r="B3" s="52" t="s">
        <v>680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53"/>
      <c r="CF3" s="54"/>
    </row>
    <row r="4" spans="1:85">
      <c r="A4" s="47"/>
      <c r="B4" s="55" t="s">
        <v>13</v>
      </c>
      <c r="C4" s="56">
        <v>1</v>
      </c>
      <c r="D4" s="56">
        <v>2</v>
      </c>
      <c r="E4" s="56">
        <v>3</v>
      </c>
      <c r="F4" s="56">
        <v>4</v>
      </c>
      <c r="G4" s="56">
        <v>5</v>
      </c>
      <c r="H4" s="56">
        <v>6</v>
      </c>
      <c r="I4" s="56">
        <v>7</v>
      </c>
      <c r="J4" s="56">
        <v>8</v>
      </c>
      <c r="K4" s="56">
        <v>9</v>
      </c>
      <c r="L4" s="56">
        <v>10</v>
      </c>
      <c r="M4" s="56">
        <v>11</v>
      </c>
      <c r="N4" s="56">
        <v>12</v>
      </c>
      <c r="O4" s="56">
        <v>13</v>
      </c>
      <c r="P4" s="56">
        <v>14</v>
      </c>
      <c r="Q4" s="56">
        <v>15</v>
      </c>
      <c r="R4" s="56">
        <v>16</v>
      </c>
      <c r="S4" s="56">
        <v>17</v>
      </c>
      <c r="T4" s="56">
        <v>18</v>
      </c>
      <c r="U4" s="56">
        <v>19</v>
      </c>
      <c r="V4" s="56">
        <v>20</v>
      </c>
      <c r="W4" s="56">
        <v>21</v>
      </c>
      <c r="X4" s="56">
        <v>22</v>
      </c>
      <c r="Y4" s="56">
        <v>23</v>
      </c>
      <c r="Z4" s="56">
        <v>24</v>
      </c>
      <c r="AA4" s="56">
        <v>25</v>
      </c>
      <c r="AB4" s="56">
        <v>26</v>
      </c>
      <c r="AC4" s="56">
        <v>27</v>
      </c>
      <c r="AD4" s="56">
        <v>28</v>
      </c>
      <c r="AE4" s="56">
        <v>29</v>
      </c>
      <c r="AF4" s="56">
        <v>30</v>
      </c>
      <c r="AG4" s="56">
        <v>31</v>
      </c>
      <c r="AH4" s="56">
        <v>32</v>
      </c>
      <c r="AI4" s="56">
        <v>33</v>
      </c>
      <c r="AJ4" s="56">
        <v>34</v>
      </c>
      <c r="AK4" s="56">
        <v>35</v>
      </c>
      <c r="AL4" s="56">
        <v>36</v>
      </c>
      <c r="AM4" s="56">
        <v>37</v>
      </c>
      <c r="AN4" s="56">
        <v>38</v>
      </c>
      <c r="AO4" s="56">
        <v>39</v>
      </c>
      <c r="AP4" s="56">
        <v>40</v>
      </c>
      <c r="AQ4" s="56">
        <v>41</v>
      </c>
      <c r="AR4" s="56">
        <v>42</v>
      </c>
      <c r="AS4" s="56">
        <v>43</v>
      </c>
      <c r="AT4" s="56">
        <v>44</v>
      </c>
      <c r="AU4" s="56">
        <v>45</v>
      </c>
      <c r="AV4" s="56">
        <v>46</v>
      </c>
      <c r="AW4" s="56">
        <v>47</v>
      </c>
      <c r="AX4" s="56">
        <v>48</v>
      </c>
      <c r="AY4" s="56">
        <v>49</v>
      </c>
      <c r="AZ4" s="56">
        <v>50</v>
      </c>
      <c r="BA4" s="56">
        <v>51</v>
      </c>
      <c r="BB4" s="56">
        <v>52</v>
      </c>
      <c r="BC4" s="56">
        <v>53</v>
      </c>
      <c r="BD4" s="56">
        <v>54</v>
      </c>
      <c r="BE4" s="56">
        <v>55</v>
      </c>
      <c r="BF4" s="56">
        <v>56</v>
      </c>
      <c r="BG4" s="56">
        <v>57</v>
      </c>
      <c r="BH4" s="56">
        <v>58</v>
      </c>
      <c r="BI4" s="56">
        <v>59</v>
      </c>
      <c r="BJ4" s="56">
        <v>60</v>
      </c>
      <c r="BK4" s="56">
        <v>61</v>
      </c>
      <c r="BL4" s="56">
        <v>62</v>
      </c>
      <c r="BM4" s="56">
        <v>63</v>
      </c>
      <c r="BN4" s="56">
        <v>64</v>
      </c>
      <c r="BO4" s="56">
        <v>65</v>
      </c>
      <c r="BP4" s="56">
        <v>66</v>
      </c>
      <c r="BQ4" s="56">
        <v>67</v>
      </c>
      <c r="BR4" s="56">
        <v>68</v>
      </c>
      <c r="BS4" s="56">
        <v>69</v>
      </c>
      <c r="BT4" s="56">
        <v>70</v>
      </c>
      <c r="BU4" s="56">
        <v>71</v>
      </c>
      <c r="BV4" s="56">
        <v>72</v>
      </c>
      <c r="BW4" s="56">
        <v>73</v>
      </c>
      <c r="BX4" s="56">
        <v>74</v>
      </c>
      <c r="BY4" s="56">
        <v>75</v>
      </c>
      <c r="BZ4" s="56">
        <v>76</v>
      </c>
      <c r="CA4" s="56">
        <v>77</v>
      </c>
      <c r="CB4" s="56">
        <v>78</v>
      </c>
      <c r="CC4" s="56">
        <v>79</v>
      </c>
      <c r="CD4" s="56">
        <v>80</v>
      </c>
      <c r="CE4" s="56">
        <v>81</v>
      </c>
      <c r="CF4" s="57">
        <v>82</v>
      </c>
    </row>
    <row r="5" spans="1:85">
      <c r="A5" s="47"/>
      <c r="B5" s="55" t="s">
        <v>14</v>
      </c>
      <c r="C5" s="58">
        <v>3355</v>
      </c>
      <c r="D5" s="58">
        <v>3355</v>
      </c>
      <c r="E5" s="58">
        <v>3000</v>
      </c>
      <c r="F5" s="58">
        <v>1511</v>
      </c>
      <c r="G5" s="58">
        <v>1990</v>
      </c>
      <c r="H5" s="58">
        <v>3497</v>
      </c>
      <c r="I5" s="58">
        <v>2000</v>
      </c>
      <c r="J5" s="58">
        <v>2000</v>
      </c>
      <c r="K5" s="58">
        <v>2757</v>
      </c>
      <c r="L5" s="58">
        <v>3019</v>
      </c>
      <c r="M5" s="58">
        <v>3069</v>
      </c>
      <c r="N5" s="58">
        <v>3157</v>
      </c>
      <c r="O5" s="58">
        <v>2998</v>
      </c>
      <c r="P5" s="58">
        <v>2489</v>
      </c>
      <c r="Q5" s="58">
        <v>1022</v>
      </c>
      <c r="R5" s="58">
        <v>1502</v>
      </c>
      <c r="S5" s="58">
        <v>2255</v>
      </c>
      <c r="T5" s="58">
        <v>2482</v>
      </c>
      <c r="U5" s="58">
        <v>2237</v>
      </c>
      <c r="V5" s="58">
        <v>1513</v>
      </c>
      <c r="W5" s="58">
        <v>1998</v>
      </c>
      <c r="X5" s="58">
        <v>2002</v>
      </c>
      <c r="Y5" s="58">
        <v>1537</v>
      </c>
      <c r="Z5" s="58">
        <v>1457</v>
      </c>
      <c r="AA5" s="58">
        <v>1564</v>
      </c>
      <c r="AB5" s="58">
        <v>1376</v>
      </c>
      <c r="AC5" s="58">
        <v>1335</v>
      </c>
      <c r="AD5" s="58">
        <v>1500</v>
      </c>
      <c r="AE5" s="58">
        <v>2999</v>
      </c>
      <c r="AF5" s="58">
        <v>2496</v>
      </c>
      <c r="AG5" s="58">
        <v>1389</v>
      </c>
      <c r="AH5" s="58">
        <v>2111</v>
      </c>
      <c r="AI5" s="58">
        <v>1997</v>
      </c>
      <c r="AJ5" s="58">
        <v>1504</v>
      </c>
      <c r="AK5" s="58">
        <v>1511</v>
      </c>
      <c r="AL5" s="58">
        <v>971</v>
      </c>
      <c r="AM5" s="58">
        <v>1546</v>
      </c>
      <c r="AN5" s="58">
        <v>1444</v>
      </c>
      <c r="AO5" s="58">
        <v>1511</v>
      </c>
      <c r="AP5" s="58">
        <v>1515</v>
      </c>
      <c r="AQ5" s="58">
        <v>2000</v>
      </c>
      <c r="AR5" s="58">
        <v>2000</v>
      </c>
      <c r="AS5" s="58">
        <v>2300</v>
      </c>
      <c r="AT5" s="58">
        <v>2300</v>
      </c>
      <c r="AU5" s="58">
        <v>1324</v>
      </c>
      <c r="AV5" s="58">
        <v>1324</v>
      </c>
      <c r="AW5" s="58">
        <v>2581</v>
      </c>
      <c r="AX5" s="58">
        <v>2581</v>
      </c>
      <c r="AY5" s="58">
        <v>1210</v>
      </c>
      <c r="AZ5" s="58">
        <v>1210</v>
      </c>
      <c r="BA5" s="58">
        <v>5039</v>
      </c>
      <c r="BB5" s="58">
        <v>1507</v>
      </c>
      <c r="BC5" s="58">
        <v>1498</v>
      </c>
      <c r="BD5" s="58">
        <v>1498</v>
      </c>
      <c r="BE5" s="58">
        <v>5039</v>
      </c>
      <c r="BF5" s="58">
        <v>5039</v>
      </c>
      <c r="BG5" s="58">
        <v>2000</v>
      </c>
      <c r="BH5" s="58">
        <v>2002</v>
      </c>
      <c r="BI5" s="58">
        <v>3497</v>
      </c>
      <c r="BJ5" s="58">
        <v>1501</v>
      </c>
      <c r="BK5" s="58">
        <v>2161</v>
      </c>
      <c r="BL5" s="58">
        <v>2349</v>
      </c>
      <c r="BM5" s="58">
        <v>1719</v>
      </c>
      <c r="BN5" s="58">
        <v>1501</v>
      </c>
      <c r="BO5" s="58">
        <v>6160</v>
      </c>
      <c r="BP5" s="58">
        <v>6160</v>
      </c>
      <c r="BQ5" s="58">
        <v>1477</v>
      </c>
      <c r="BR5" s="58">
        <v>1481</v>
      </c>
      <c r="BS5" s="58">
        <v>1977</v>
      </c>
      <c r="BT5" s="58">
        <v>1977</v>
      </c>
      <c r="BU5" s="58">
        <v>3929</v>
      </c>
      <c r="BV5" s="58">
        <v>1675</v>
      </c>
      <c r="BW5" s="58">
        <v>970</v>
      </c>
      <c r="BX5" s="58">
        <v>970</v>
      </c>
      <c r="BY5" s="58">
        <v>3752</v>
      </c>
      <c r="BZ5" s="58">
        <v>3752</v>
      </c>
      <c r="CA5" s="58">
        <v>3020</v>
      </c>
      <c r="CB5" s="58">
        <v>3020</v>
      </c>
      <c r="CC5" s="58">
        <v>3875</v>
      </c>
      <c r="CD5" s="58">
        <v>3875</v>
      </c>
      <c r="CE5" s="58">
        <v>2874</v>
      </c>
      <c r="CF5" s="59">
        <v>2874</v>
      </c>
    </row>
    <row r="6" spans="1:85">
      <c r="A6" s="47"/>
      <c r="B6" s="55" t="s">
        <v>15</v>
      </c>
      <c r="C6" s="56">
        <v>191.024</v>
      </c>
      <c r="D6" s="56">
        <v>191.024</v>
      </c>
      <c r="E6" s="56">
        <v>191.024</v>
      </c>
      <c r="F6" s="56">
        <v>191.024</v>
      </c>
      <c r="G6" s="56">
        <v>191.024</v>
      </c>
      <c r="H6" s="56">
        <v>191.024</v>
      </c>
      <c r="I6" s="56">
        <v>191.024</v>
      </c>
      <c r="J6" s="56">
        <v>191.024</v>
      </c>
      <c r="K6" s="56">
        <v>191.024</v>
      </c>
      <c r="L6" s="56">
        <v>191.024</v>
      </c>
      <c r="M6" s="56">
        <v>191.024</v>
      </c>
      <c r="N6" s="56">
        <v>191.024</v>
      </c>
      <c r="O6" s="56">
        <v>191.024</v>
      </c>
      <c r="P6" s="56">
        <v>191.024</v>
      </c>
      <c r="Q6" s="56">
        <v>191.024</v>
      </c>
      <c r="R6" s="56">
        <v>191.024</v>
      </c>
      <c r="S6" s="56">
        <v>191.024</v>
      </c>
      <c r="T6" s="56">
        <v>191.024</v>
      </c>
      <c r="U6" s="56">
        <v>191.024</v>
      </c>
      <c r="V6" s="56">
        <v>191.024</v>
      </c>
      <c r="W6" s="56">
        <v>191.024</v>
      </c>
      <c r="X6" s="56">
        <v>191.024</v>
      </c>
      <c r="Y6" s="56">
        <v>191.024</v>
      </c>
      <c r="Z6" s="56">
        <v>191.024</v>
      </c>
      <c r="AA6" s="56">
        <v>191.024</v>
      </c>
      <c r="AB6" s="56">
        <v>191.024</v>
      </c>
      <c r="AC6" s="56">
        <v>191.024</v>
      </c>
      <c r="AD6" s="56">
        <v>191.024</v>
      </c>
      <c r="AE6" s="56">
        <v>191.024</v>
      </c>
      <c r="AF6" s="56">
        <v>191.024</v>
      </c>
      <c r="AG6" s="56">
        <v>191.024</v>
      </c>
      <c r="AH6" s="56">
        <v>191.024</v>
      </c>
      <c r="AI6" s="56">
        <v>191.024</v>
      </c>
      <c r="AJ6" s="56">
        <v>191.024</v>
      </c>
      <c r="AK6" s="56">
        <v>191.024</v>
      </c>
      <c r="AL6" s="56">
        <v>191.024</v>
      </c>
      <c r="AM6" s="56">
        <v>191.024</v>
      </c>
      <c r="AN6" s="56">
        <v>191.024</v>
      </c>
      <c r="AO6" s="56">
        <v>191.024</v>
      </c>
      <c r="AP6" s="56">
        <v>191.024</v>
      </c>
      <c r="AQ6" s="56">
        <v>191.024</v>
      </c>
      <c r="AR6" s="56">
        <v>191.024</v>
      </c>
      <c r="AS6" s="56">
        <v>191.024</v>
      </c>
      <c r="AT6" s="56">
        <v>191.024</v>
      </c>
      <c r="AU6" s="56">
        <v>191.024</v>
      </c>
      <c r="AV6" s="56">
        <v>191.024</v>
      </c>
      <c r="AW6" s="56">
        <v>191.024</v>
      </c>
      <c r="AX6" s="56">
        <v>191.024</v>
      </c>
      <c r="AY6" s="56">
        <v>191.024</v>
      </c>
      <c r="AZ6" s="56">
        <v>191.024</v>
      </c>
      <c r="BA6" s="56">
        <v>191.024</v>
      </c>
      <c r="BB6" s="56">
        <v>191.024</v>
      </c>
      <c r="BC6" s="56">
        <v>191.024</v>
      </c>
      <c r="BD6" s="56">
        <v>191.024</v>
      </c>
      <c r="BE6" s="56">
        <v>191.024</v>
      </c>
      <c r="BF6" s="56">
        <v>191.024</v>
      </c>
      <c r="BG6" s="56">
        <v>191.024</v>
      </c>
      <c r="BH6" s="56">
        <v>191.024</v>
      </c>
      <c r="BI6" s="56">
        <v>191.024</v>
      </c>
      <c r="BJ6" s="56">
        <v>191.024</v>
      </c>
      <c r="BK6" s="56">
        <v>191.024</v>
      </c>
      <c r="BL6" s="56">
        <v>191.024</v>
      </c>
      <c r="BM6" s="56">
        <v>191.024</v>
      </c>
      <c r="BN6" s="56">
        <v>191.024</v>
      </c>
      <c r="BO6" s="56">
        <v>191.024</v>
      </c>
      <c r="BP6" s="56">
        <v>191.024</v>
      </c>
      <c r="BQ6" s="56">
        <v>191.024</v>
      </c>
      <c r="BR6" s="56">
        <v>191.024</v>
      </c>
      <c r="BS6" s="56">
        <v>191.024</v>
      </c>
      <c r="BT6" s="56">
        <v>191.024</v>
      </c>
      <c r="BU6" s="56">
        <v>191.024</v>
      </c>
      <c r="BV6" s="56">
        <v>191.024</v>
      </c>
      <c r="BW6" s="56">
        <v>191.024</v>
      </c>
      <c r="BX6" s="56">
        <v>191.024</v>
      </c>
      <c r="BY6" s="56">
        <v>191.024</v>
      </c>
      <c r="BZ6" s="56">
        <v>191.024</v>
      </c>
      <c r="CA6" s="56">
        <v>191.024</v>
      </c>
      <c r="CB6" s="56">
        <v>191.024</v>
      </c>
      <c r="CC6" s="56">
        <v>191.024</v>
      </c>
      <c r="CD6" s="56">
        <v>191.024</v>
      </c>
      <c r="CE6" s="56">
        <v>191.024</v>
      </c>
      <c r="CF6" s="57">
        <v>191.024</v>
      </c>
    </row>
    <row r="7" spans="1:85">
      <c r="B7" s="55" t="s">
        <v>16</v>
      </c>
      <c r="C7" s="60">
        <v>2.125</v>
      </c>
      <c r="D7" s="60">
        <v>2.125</v>
      </c>
      <c r="E7" s="60">
        <v>1.923</v>
      </c>
      <c r="F7" s="60">
        <v>3.63</v>
      </c>
      <c r="G7" s="60">
        <v>5.0810000000000004</v>
      </c>
      <c r="H7" s="60">
        <v>3.8290000000000002</v>
      </c>
      <c r="I7" s="60">
        <v>1.7350000000000001</v>
      </c>
      <c r="J7" s="60">
        <v>1.393</v>
      </c>
      <c r="K7" s="60">
        <v>3.7879999999999998</v>
      </c>
      <c r="L7" s="60">
        <v>3.7469999999999999</v>
      </c>
      <c r="M7" s="60">
        <v>1.4079999999999999</v>
      </c>
      <c r="N7" s="60">
        <v>3.9180000000000001</v>
      </c>
      <c r="O7" s="60">
        <v>1.681</v>
      </c>
      <c r="P7" s="60">
        <v>1.603</v>
      </c>
      <c r="Q7" s="60">
        <v>2.4950000000000001</v>
      </c>
      <c r="R7" s="60">
        <v>3.3540000000000001</v>
      </c>
      <c r="S7" s="60">
        <v>4.5659999999999998</v>
      </c>
      <c r="T7" s="60">
        <v>2.96</v>
      </c>
      <c r="U7" s="60">
        <v>1.2370000000000001</v>
      </c>
      <c r="V7" s="60">
        <v>2.3650000000000002</v>
      </c>
      <c r="W7" s="60">
        <v>3.5019999999999998</v>
      </c>
      <c r="X7" s="60">
        <v>2.516</v>
      </c>
      <c r="Y7" s="60">
        <v>4.077</v>
      </c>
      <c r="Z7" s="60">
        <v>2.7730000000000001</v>
      </c>
      <c r="AA7" s="60">
        <v>1.4510000000000001</v>
      </c>
      <c r="AB7" s="60">
        <v>3.0680000000000001</v>
      </c>
      <c r="AC7" s="60">
        <v>3.1629999999999998</v>
      </c>
      <c r="AD7" s="60">
        <v>4.367</v>
      </c>
      <c r="AE7" s="60">
        <v>2.0939999999999999</v>
      </c>
      <c r="AF7" s="60">
        <v>0.11799999999999999</v>
      </c>
      <c r="AG7" s="60">
        <v>1.321</v>
      </c>
      <c r="AH7" s="60">
        <v>2.3769999999999998</v>
      </c>
      <c r="AI7" s="60">
        <v>1.992</v>
      </c>
      <c r="AJ7" s="60">
        <v>1.9379999999999999</v>
      </c>
      <c r="AK7" s="60">
        <v>2.7429999999999999</v>
      </c>
      <c r="AL7" s="60">
        <v>1.2230000000000001</v>
      </c>
      <c r="AM7" s="60">
        <v>2.5270000000000001</v>
      </c>
      <c r="AN7" s="60">
        <v>1.575</v>
      </c>
      <c r="AO7" s="60">
        <v>2.4089999999999998</v>
      </c>
      <c r="AP7" s="60">
        <v>3.8140000000000001</v>
      </c>
      <c r="AQ7" s="60">
        <v>4.0069999999999997</v>
      </c>
      <c r="AR7" s="60">
        <v>4.0069999999999997</v>
      </c>
      <c r="AS7" s="60">
        <v>4.0069999999999997</v>
      </c>
      <c r="AT7" s="60">
        <v>4.5419999999999998</v>
      </c>
      <c r="AU7" s="60">
        <v>4.4790000000000001</v>
      </c>
      <c r="AV7" s="60">
        <v>4.4790000000000001</v>
      </c>
      <c r="AW7" s="60">
        <v>4.4790000000000001</v>
      </c>
      <c r="AX7" s="60">
        <v>4.5220000000000002</v>
      </c>
      <c r="AY7" s="60">
        <v>4.9379999999999997</v>
      </c>
      <c r="AZ7" s="60">
        <v>4.9379999999999997</v>
      </c>
      <c r="BA7" s="60">
        <v>4.9379999999999997</v>
      </c>
      <c r="BB7" s="60">
        <v>4.3460000000000001</v>
      </c>
      <c r="BC7" s="60">
        <v>4.2270000000000003</v>
      </c>
      <c r="BD7" s="60">
        <v>4.2270000000000003</v>
      </c>
      <c r="BE7" s="60">
        <v>1.012</v>
      </c>
      <c r="BF7" s="60">
        <v>1.012</v>
      </c>
      <c r="BG7" s="60">
        <v>0.17100000000000001</v>
      </c>
      <c r="BH7" s="60">
        <v>0.66300000000000003</v>
      </c>
      <c r="BI7" s="60">
        <v>1.829</v>
      </c>
      <c r="BJ7" s="60">
        <v>2.613</v>
      </c>
      <c r="BK7" s="60">
        <v>3.1739999999999999</v>
      </c>
      <c r="BL7" s="60">
        <v>1.546</v>
      </c>
      <c r="BM7" s="60">
        <v>6.1769999999999996</v>
      </c>
      <c r="BN7" s="60">
        <v>2.613</v>
      </c>
      <c r="BO7" s="60">
        <v>2.613</v>
      </c>
      <c r="BP7" s="60">
        <v>0.4</v>
      </c>
      <c r="BQ7" s="60">
        <v>1.3180000000000001</v>
      </c>
      <c r="BR7" s="60">
        <v>0.46700000000000003</v>
      </c>
      <c r="BS7" s="60">
        <v>0.96499999999999997</v>
      </c>
      <c r="BT7" s="60">
        <v>0.96499999999999997</v>
      </c>
      <c r="BU7" s="60">
        <v>0.96499999999999997</v>
      </c>
      <c r="BV7" s="60">
        <v>0.64</v>
      </c>
      <c r="BW7" s="60">
        <v>0.88800000000000001</v>
      </c>
      <c r="BX7" s="60">
        <v>0.88800000000000001</v>
      </c>
      <c r="BY7" s="60">
        <v>0.88800000000000001</v>
      </c>
      <c r="BZ7" s="60">
        <v>3.35</v>
      </c>
      <c r="CA7" s="60">
        <v>3.452</v>
      </c>
      <c r="CB7" s="60">
        <v>3.452</v>
      </c>
      <c r="CC7" s="60">
        <v>3.452</v>
      </c>
      <c r="CD7" s="60">
        <v>3.9660000000000002</v>
      </c>
      <c r="CE7" s="60">
        <v>3.887</v>
      </c>
      <c r="CF7" s="61">
        <v>3.887</v>
      </c>
    </row>
    <row r="8" spans="1:85">
      <c r="B8" s="55" t="s">
        <v>17</v>
      </c>
      <c r="C8" s="62">
        <v>70</v>
      </c>
      <c r="D8" s="62">
        <v>70</v>
      </c>
      <c r="E8" s="62">
        <v>70</v>
      </c>
      <c r="F8" s="62">
        <v>70</v>
      </c>
      <c r="G8" s="62">
        <v>70</v>
      </c>
      <c r="H8" s="62">
        <v>70</v>
      </c>
      <c r="I8" s="62">
        <v>70</v>
      </c>
      <c r="J8" s="62">
        <v>70</v>
      </c>
      <c r="K8" s="62">
        <v>70</v>
      </c>
      <c r="L8" s="62">
        <v>70</v>
      </c>
      <c r="M8" s="62">
        <v>70</v>
      </c>
      <c r="N8" s="62">
        <v>70</v>
      </c>
      <c r="O8" s="62">
        <v>70</v>
      </c>
      <c r="P8" s="62">
        <v>70</v>
      </c>
      <c r="Q8" s="62">
        <v>70</v>
      </c>
      <c r="R8" s="62">
        <v>70</v>
      </c>
      <c r="S8" s="62">
        <v>70</v>
      </c>
      <c r="T8" s="62">
        <v>70</v>
      </c>
      <c r="U8" s="62">
        <v>70</v>
      </c>
      <c r="V8" s="62">
        <v>70</v>
      </c>
      <c r="W8" s="62">
        <v>70</v>
      </c>
      <c r="X8" s="62">
        <v>70</v>
      </c>
      <c r="Y8" s="62">
        <v>70</v>
      </c>
      <c r="Z8" s="62">
        <v>70</v>
      </c>
      <c r="AA8" s="62">
        <v>70</v>
      </c>
      <c r="AB8" s="62">
        <v>70</v>
      </c>
      <c r="AC8" s="62">
        <v>70</v>
      </c>
      <c r="AD8" s="62">
        <v>70</v>
      </c>
      <c r="AE8" s="62">
        <v>70</v>
      </c>
      <c r="AF8" s="62">
        <v>70</v>
      </c>
      <c r="AG8" s="62">
        <v>70</v>
      </c>
      <c r="AH8" s="62">
        <v>70</v>
      </c>
      <c r="AI8" s="62">
        <v>70</v>
      </c>
      <c r="AJ8" s="62">
        <v>70</v>
      </c>
      <c r="AK8" s="62">
        <v>70</v>
      </c>
      <c r="AL8" s="62">
        <v>70</v>
      </c>
      <c r="AM8" s="62">
        <v>70</v>
      </c>
      <c r="AN8" s="62">
        <v>70</v>
      </c>
      <c r="AO8" s="62">
        <v>70</v>
      </c>
      <c r="AP8" s="62">
        <v>70</v>
      </c>
      <c r="AQ8" s="62">
        <v>70</v>
      </c>
      <c r="AR8" s="62">
        <v>70</v>
      </c>
      <c r="AS8" s="62">
        <v>70</v>
      </c>
      <c r="AT8" s="62">
        <v>70</v>
      </c>
      <c r="AU8" s="62">
        <v>70</v>
      </c>
      <c r="AV8" s="62">
        <v>70</v>
      </c>
      <c r="AW8" s="62">
        <v>70</v>
      </c>
      <c r="AX8" s="62">
        <v>70</v>
      </c>
      <c r="AY8" s="62">
        <v>70</v>
      </c>
      <c r="AZ8" s="62">
        <v>70</v>
      </c>
      <c r="BA8" s="62">
        <v>70</v>
      </c>
      <c r="BB8" s="62">
        <v>70</v>
      </c>
      <c r="BC8" s="62">
        <v>70</v>
      </c>
      <c r="BD8" s="62">
        <v>70</v>
      </c>
      <c r="BE8" s="62">
        <v>70</v>
      </c>
      <c r="BF8" s="62">
        <v>70</v>
      </c>
      <c r="BG8" s="62">
        <v>70</v>
      </c>
      <c r="BH8" s="62">
        <v>70</v>
      </c>
      <c r="BI8" s="62">
        <v>70</v>
      </c>
      <c r="BJ8" s="62">
        <v>70</v>
      </c>
      <c r="BK8" s="62">
        <v>70</v>
      </c>
      <c r="BL8" s="62">
        <v>70</v>
      </c>
      <c r="BM8" s="62">
        <v>70</v>
      </c>
      <c r="BN8" s="62">
        <v>70</v>
      </c>
      <c r="BO8" s="62">
        <v>70</v>
      </c>
      <c r="BP8" s="62">
        <v>70</v>
      </c>
      <c r="BQ8" s="62">
        <v>70</v>
      </c>
      <c r="BR8" s="62">
        <v>70</v>
      </c>
      <c r="BS8" s="62">
        <v>70</v>
      </c>
      <c r="BT8" s="62">
        <v>70</v>
      </c>
      <c r="BU8" s="62">
        <v>70</v>
      </c>
      <c r="BV8" s="62">
        <v>70</v>
      </c>
      <c r="BW8" s="62">
        <v>70</v>
      </c>
      <c r="BX8" s="62">
        <v>70</v>
      </c>
      <c r="BY8" s="62">
        <v>70</v>
      </c>
      <c r="BZ8" s="62">
        <v>70</v>
      </c>
      <c r="CA8" s="62">
        <v>70</v>
      </c>
      <c r="CB8" s="62">
        <v>70</v>
      </c>
      <c r="CC8" s="62">
        <v>70</v>
      </c>
      <c r="CD8" s="62">
        <v>70</v>
      </c>
      <c r="CE8" s="62">
        <v>70</v>
      </c>
      <c r="CF8" s="63">
        <v>70</v>
      </c>
    </row>
    <row r="9" spans="1:85">
      <c r="A9" s="48" t="s">
        <v>18</v>
      </c>
      <c r="B9" s="55" t="s">
        <v>19</v>
      </c>
      <c r="C9" s="58">
        <v>1</v>
      </c>
      <c r="D9" s="58">
        <v>1</v>
      </c>
      <c r="E9" s="58">
        <v>1</v>
      </c>
      <c r="F9" s="58">
        <v>1</v>
      </c>
      <c r="G9" s="58">
        <v>1</v>
      </c>
      <c r="H9" s="58">
        <v>1</v>
      </c>
      <c r="I9" s="58">
        <v>1</v>
      </c>
      <c r="J9" s="58">
        <v>1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  <c r="U9" s="58">
        <v>1</v>
      </c>
      <c r="V9" s="58">
        <v>1</v>
      </c>
      <c r="W9" s="58">
        <v>1</v>
      </c>
      <c r="X9" s="58">
        <v>1</v>
      </c>
      <c r="Y9" s="58">
        <v>1</v>
      </c>
      <c r="Z9" s="58">
        <v>1</v>
      </c>
      <c r="AA9" s="58">
        <v>1</v>
      </c>
      <c r="AB9" s="58">
        <v>1</v>
      </c>
      <c r="AC9" s="58">
        <v>1</v>
      </c>
      <c r="AD9" s="58">
        <v>1</v>
      </c>
      <c r="AE9" s="58">
        <v>1</v>
      </c>
      <c r="AF9" s="58">
        <v>1</v>
      </c>
      <c r="AG9" s="58">
        <v>1</v>
      </c>
      <c r="AH9" s="58">
        <v>1</v>
      </c>
      <c r="AI9" s="58">
        <v>1</v>
      </c>
      <c r="AJ9" s="58">
        <v>1</v>
      </c>
      <c r="AK9" s="58">
        <v>1</v>
      </c>
      <c r="AL9" s="58">
        <v>1</v>
      </c>
      <c r="AM9" s="58">
        <v>1</v>
      </c>
      <c r="AN9" s="58">
        <v>1</v>
      </c>
      <c r="AO9" s="58">
        <v>1</v>
      </c>
      <c r="AP9" s="58">
        <v>1</v>
      </c>
      <c r="AQ9" s="58">
        <v>1</v>
      </c>
      <c r="AR9" s="58">
        <v>1</v>
      </c>
      <c r="AS9" s="56">
        <v>2</v>
      </c>
      <c r="AT9" s="56">
        <v>2</v>
      </c>
      <c r="AU9" s="56">
        <v>2</v>
      </c>
      <c r="AV9" s="56">
        <v>2</v>
      </c>
      <c r="AW9" s="56">
        <v>3</v>
      </c>
      <c r="AX9" s="56">
        <v>3</v>
      </c>
      <c r="AY9" s="56">
        <v>3</v>
      </c>
      <c r="AZ9" s="56">
        <v>3</v>
      </c>
      <c r="BA9" s="56">
        <v>4</v>
      </c>
      <c r="BB9" s="56">
        <v>4</v>
      </c>
      <c r="BC9" s="56">
        <v>4</v>
      </c>
      <c r="BD9" s="56">
        <v>4</v>
      </c>
      <c r="BE9" s="56">
        <v>5</v>
      </c>
      <c r="BF9" s="56">
        <v>5</v>
      </c>
      <c r="BG9" s="56">
        <v>5</v>
      </c>
      <c r="BH9" s="56">
        <v>5</v>
      </c>
      <c r="BI9" s="56">
        <v>5</v>
      </c>
      <c r="BJ9" s="56">
        <v>5</v>
      </c>
      <c r="BK9" s="56">
        <v>5</v>
      </c>
      <c r="BL9" s="56">
        <v>5</v>
      </c>
      <c r="BM9" s="56">
        <v>5</v>
      </c>
      <c r="BN9" s="56">
        <v>6</v>
      </c>
      <c r="BO9" s="56">
        <v>6</v>
      </c>
      <c r="BP9" s="56">
        <v>6</v>
      </c>
      <c r="BQ9" s="56">
        <v>6</v>
      </c>
      <c r="BR9" s="56">
        <v>6</v>
      </c>
      <c r="BS9" s="56">
        <v>6</v>
      </c>
      <c r="BT9" s="56">
        <v>6</v>
      </c>
      <c r="BU9" s="56">
        <v>7</v>
      </c>
      <c r="BV9" s="56">
        <v>7</v>
      </c>
      <c r="BW9" s="56">
        <v>7</v>
      </c>
      <c r="BX9" s="56">
        <v>7</v>
      </c>
      <c r="BY9" s="56">
        <v>8</v>
      </c>
      <c r="BZ9" s="56">
        <v>8</v>
      </c>
      <c r="CA9" s="56">
        <v>8</v>
      </c>
      <c r="CB9" s="56">
        <v>8</v>
      </c>
      <c r="CC9" s="56">
        <v>9</v>
      </c>
      <c r="CD9" s="56">
        <v>9</v>
      </c>
      <c r="CE9" s="56">
        <v>9</v>
      </c>
      <c r="CF9" s="57">
        <v>9</v>
      </c>
      <c r="CG9" s="48" t="s">
        <v>20</v>
      </c>
    </row>
    <row r="10" spans="1:85">
      <c r="A10" s="51">
        <v>208.3</v>
      </c>
      <c r="B10" s="64">
        <v>1</v>
      </c>
      <c r="C10" s="65">
        <v>0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5">
        <v>0</v>
      </c>
      <c r="K10" s="65">
        <v>0</v>
      </c>
      <c r="L10" s="65">
        <v>0</v>
      </c>
      <c r="M10" s="65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T10" s="65">
        <v>0</v>
      </c>
      <c r="U10" s="65">
        <v>0</v>
      </c>
      <c r="V10" s="65">
        <v>0</v>
      </c>
      <c r="W10" s="65">
        <v>0</v>
      </c>
      <c r="X10" s="65">
        <v>0</v>
      </c>
      <c r="Y10" s="65">
        <v>0</v>
      </c>
      <c r="Z10" s="65">
        <v>0</v>
      </c>
      <c r="AA10" s="65">
        <v>0</v>
      </c>
      <c r="AB10" s="65">
        <v>0</v>
      </c>
      <c r="AC10" s="65">
        <v>0</v>
      </c>
      <c r="AD10" s="65">
        <v>0</v>
      </c>
      <c r="AE10" s="65">
        <v>0</v>
      </c>
      <c r="AF10" s="65">
        <v>0</v>
      </c>
      <c r="AG10" s="65">
        <v>0</v>
      </c>
      <c r="AH10" s="65">
        <v>0</v>
      </c>
      <c r="AI10" s="65">
        <v>0</v>
      </c>
      <c r="AJ10" s="65">
        <v>0</v>
      </c>
      <c r="AK10" s="65">
        <v>0</v>
      </c>
      <c r="AL10" s="65">
        <v>0</v>
      </c>
      <c r="AM10" s="65">
        <v>0</v>
      </c>
      <c r="AN10" s="65">
        <v>0</v>
      </c>
      <c r="AO10" s="65">
        <v>0</v>
      </c>
      <c r="AP10" s="65">
        <v>0</v>
      </c>
      <c r="AQ10" s="65">
        <v>0</v>
      </c>
      <c r="AR10" s="65">
        <v>0</v>
      </c>
      <c r="AS10" s="65">
        <v>0</v>
      </c>
      <c r="AT10" s="65">
        <v>0</v>
      </c>
      <c r="AU10" s="65">
        <v>0</v>
      </c>
      <c r="AV10" s="65">
        <v>0</v>
      </c>
      <c r="AW10" s="65">
        <v>0</v>
      </c>
      <c r="AX10" s="65">
        <v>0</v>
      </c>
      <c r="AY10" s="65">
        <v>0</v>
      </c>
      <c r="AZ10" s="65">
        <v>0</v>
      </c>
      <c r="BA10" s="65">
        <v>0</v>
      </c>
      <c r="BB10" s="65">
        <v>0</v>
      </c>
      <c r="BC10" s="65">
        <v>0</v>
      </c>
      <c r="BD10" s="65">
        <v>0</v>
      </c>
      <c r="BE10" s="65">
        <v>0</v>
      </c>
      <c r="BF10" s="65">
        <v>0</v>
      </c>
      <c r="BG10" s="65">
        <v>0</v>
      </c>
      <c r="BH10" s="65">
        <v>0</v>
      </c>
      <c r="BI10" s="65">
        <v>0</v>
      </c>
      <c r="BJ10" s="65">
        <v>0</v>
      </c>
      <c r="BK10" s="65">
        <v>0</v>
      </c>
      <c r="BL10" s="65">
        <v>0</v>
      </c>
      <c r="BM10" s="65">
        <v>0</v>
      </c>
      <c r="BN10" s="65">
        <v>0</v>
      </c>
      <c r="BO10" s="65">
        <v>0</v>
      </c>
      <c r="BP10" s="65">
        <v>0</v>
      </c>
      <c r="BQ10" s="65">
        <v>0</v>
      </c>
      <c r="BR10" s="65">
        <v>0</v>
      </c>
      <c r="BS10" s="65">
        <v>0</v>
      </c>
      <c r="BT10" s="65">
        <v>0</v>
      </c>
      <c r="BU10" s="65">
        <v>0</v>
      </c>
      <c r="BV10" s="65">
        <v>0</v>
      </c>
      <c r="BW10" s="65">
        <v>0</v>
      </c>
      <c r="BX10" s="65">
        <v>0</v>
      </c>
      <c r="BY10" s="65">
        <v>0</v>
      </c>
      <c r="BZ10" s="65">
        <v>0</v>
      </c>
      <c r="CA10" s="65">
        <v>0</v>
      </c>
      <c r="CB10" s="65">
        <v>0</v>
      </c>
      <c r="CC10" s="65">
        <v>0</v>
      </c>
      <c r="CD10" s="65">
        <v>0</v>
      </c>
      <c r="CE10" s="65">
        <v>0</v>
      </c>
      <c r="CF10" s="66">
        <v>0</v>
      </c>
      <c r="CG10" s="47">
        <v>1</v>
      </c>
    </row>
    <row r="11" spans="1:85">
      <c r="A11" s="51">
        <f t="shared" ref="A11:A42" si="3">A10-B11</f>
        <v>207.3</v>
      </c>
      <c r="B11" s="64">
        <v>1</v>
      </c>
      <c r="C11" s="65">
        <v>0</v>
      </c>
      <c r="D11" s="65">
        <v>276</v>
      </c>
      <c r="E11" s="65">
        <v>268</v>
      </c>
      <c r="F11" s="65">
        <v>291</v>
      </c>
      <c r="G11" s="65">
        <v>291</v>
      </c>
      <c r="H11" s="65">
        <v>313</v>
      </c>
      <c r="I11" s="65">
        <v>313</v>
      </c>
      <c r="J11" s="65">
        <v>328</v>
      </c>
      <c r="K11" s="65">
        <v>374</v>
      </c>
      <c r="L11" s="65">
        <v>374</v>
      </c>
      <c r="M11" s="65">
        <v>307</v>
      </c>
      <c r="N11" s="65">
        <v>413</v>
      </c>
      <c r="O11" s="65">
        <v>522</v>
      </c>
      <c r="P11" s="65">
        <v>522</v>
      </c>
      <c r="Q11" s="65">
        <v>522</v>
      </c>
      <c r="R11" s="65">
        <v>504</v>
      </c>
      <c r="S11" s="65">
        <v>488</v>
      </c>
      <c r="T11" s="65">
        <v>536</v>
      </c>
      <c r="U11" s="65">
        <v>495</v>
      </c>
      <c r="V11" s="65">
        <v>495</v>
      </c>
      <c r="W11" s="65">
        <v>421</v>
      </c>
      <c r="X11" s="65">
        <v>805</v>
      </c>
      <c r="Y11" s="65">
        <v>857</v>
      </c>
      <c r="Z11" s="65">
        <v>608</v>
      </c>
      <c r="AA11" s="65">
        <v>823</v>
      </c>
      <c r="AB11" s="65">
        <v>913</v>
      </c>
      <c r="AC11" s="65">
        <v>967</v>
      </c>
      <c r="AD11" s="65">
        <v>1261</v>
      </c>
      <c r="AE11" s="65">
        <v>1068</v>
      </c>
      <c r="AF11" s="65">
        <v>942</v>
      </c>
      <c r="AG11" s="65">
        <v>1201</v>
      </c>
      <c r="AH11" s="65">
        <v>1305</v>
      </c>
      <c r="AI11" s="65">
        <v>1305</v>
      </c>
      <c r="AJ11" s="65">
        <v>1493</v>
      </c>
      <c r="AK11" s="65">
        <v>1348</v>
      </c>
      <c r="AL11" s="65">
        <v>1348</v>
      </c>
      <c r="AM11" s="65">
        <v>1651</v>
      </c>
      <c r="AN11" s="65">
        <v>1263</v>
      </c>
      <c r="AO11" s="65">
        <v>1287</v>
      </c>
      <c r="AP11" s="65">
        <v>1297</v>
      </c>
      <c r="AQ11" s="65">
        <v>1341</v>
      </c>
      <c r="AR11" s="65">
        <v>0</v>
      </c>
      <c r="AS11" s="65">
        <v>0</v>
      </c>
      <c r="AT11" s="65">
        <v>252.4</v>
      </c>
      <c r="AU11" s="65">
        <v>327.5</v>
      </c>
      <c r="AV11" s="65">
        <v>0</v>
      </c>
      <c r="AW11" s="65">
        <v>0</v>
      </c>
      <c r="AX11" s="65">
        <v>301</v>
      </c>
      <c r="AY11" s="65">
        <v>301</v>
      </c>
      <c r="AZ11" s="65">
        <v>0</v>
      </c>
      <c r="BA11" s="65">
        <v>0</v>
      </c>
      <c r="BB11" s="65">
        <v>660</v>
      </c>
      <c r="BC11" s="65">
        <v>660</v>
      </c>
      <c r="BD11" s="65">
        <v>0</v>
      </c>
      <c r="BE11" s="65">
        <v>0</v>
      </c>
      <c r="BF11" s="65">
        <v>304</v>
      </c>
      <c r="BG11" s="65">
        <v>307</v>
      </c>
      <c r="BH11" s="65">
        <v>428</v>
      </c>
      <c r="BI11" s="65">
        <v>467</v>
      </c>
      <c r="BJ11" s="65">
        <v>986</v>
      </c>
      <c r="BK11" s="65">
        <v>660</v>
      </c>
      <c r="BL11" s="65">
        <v>805</v>
      </c>
      <c r="BM11" s="65">
        <v>808</v>
      </c>
      <c r="BN11" s="65">
        <v>0</v>
      </c>
      <c r="BO11" s="65">
        <v>0</v>
      </c>
      <c r="BP11" s="65">
        <v>175.4</v>
      </c>
      <c r="BQ11" s="65">
        <v>357.7</v>
      </c>
      <c r="BR11" s="65">
        <v>327.5</v>
      </c>
      <c r="BS11" s="65">
        <v>536.85</v>
      </c>
      <c r="BT11" s="65">
        <v>0</v>
      </c>
      <c r="BU11" s="65">
        <v>0</v>
      </c>
      <c r="BV11" s="65">
        <v>1976.14</v>
      </c>
      <c r="BW11" s="65">
        <v>1882.04</v>
      </c>
      <c r="BX11" s="65">
        <v>0</v>
      </c>
      <c r="BY11" s="65">
        <v>0</v>
      </c>
      <c r="BZ11" s="65">
        <v>620</v>
      </c>
      <c r="CA11" s="65">
        <v>571</v>
      </c>
      <c r="CB11" s="65">
        <v>0</v>
      </c>
      <c r="CC11" s="65">
        <v>0</v>
      </c>
      <c r="CD11" s="65">
        <v>314</v>
      </c>
      <c r="CE11" s="65">
        <v>539</v>
      </c>
      <c r="CF11" s="66">
        <v>0</v>
      </c>
      <c r="CG11" s="47">
        <v>2</v>
      </c>
    </row>
    <row r="12" spans="1:85">
      <c r="A12" s="51">
        <f t="shared" si="3"/>
        <v>206.3</v>
      </c>
      <c r="B12" s="64">
        <v>1</v>
      </c>
      <c r="C12" s="65">
        <v>0</v>
      </c>
      <c r="D12" s="65">
        <v>270</v>
      </c>
      <c r="E12" s="65">
        <v>264</v>
      </c>
      <c r="F12" s="65">
        <v>289</v>
      </c>
      <c r="G12" s="65">
        <v>289</v>
      </c>
      <c r="H12" s="65">
        <v>307</v>
      </c>
      <c r="I12" s="65">
        <v>307</v>
      </c>
      <c r="J12" s="65">
        <v>324</v>
      </c>
      <c r="K12" s="65">
        <v>370</v>
      </c>
      <c r="L12" s="65">
        <v>370</v>
      </c>
      <c r="M12" s="65">
        <v>304</v>
      </c>
      <c r="N12" s="65">
        <v>409</v>
      </c>
      <c r="O12" s="65">
        <v>517</v>
      </c>
      <c r="P12" s="65">
        <v>516</v>
      </c>
      <c r="Q12" s="65">
        <v>516</v>
      </c>
      <c r="R12" s="65">
        <v>500</v>
      </c>
      <c r="S12" s="65">
        <v>484</v>
      </c>
      <c r="T12" s="65">
        <v>529</v>
      </c>
      <c r="U12" s="65">
        <v>488</v>
      </c>
      <c r="V12" s="65">
        <v>488</v>
      </c>
      <c r="W12" s="65">
        <v>419</v>
      </c>
      <c r="X12" s="65">
        <v>795</v>
      </c>
      <c r="Y12" s="65">
        <v>852</v>
      </c>
      <c r="Z12" s="65">
        <v>606</v>
      </c>
      <c r="AA12" s="65">
        <v>816</v>
      </c>
      <c r="AB12" s="65">
        <v>902</v>
      </c>
      <c r="AC12" s="65">
        <v>961</v>
      </c>
      <c r="AD12" s="65">
        <v>1254</v>
      </c>
      <c r="AE12" s="65">
        <v>1059</v>
      </c>
      <c r="AF12" s="65">
        <v>936</v>
      </c>
      <c r="AG12" s="65">
        <v>1188</v>
      </c>
      <c r="AH12" s="65">
        <v>1294</v>
      </c>
      <c r="AI12" s="65">
        <v>1294</v>
      </c>
      <c r="AJ12" s="65">
        <v>1487</v>
      </c>
      <c r="AK12" s="65">
        <v>1339</v>
      </c>
      <c r="AL12" s="65">
        <v>1339</v>
      </c>
      <c r="AM12" s="65">
        <v>1644</v>
      </c>
      <c r="AN12" s="65">
        <v>1235</v>
      </c>
      <c r="AO12" s="65">
        <v>1279</v>
      </c>
      <c r="AP12" s="65">
        <v>1292</v>
      </c>
      <c r="AQ12" s="65">
        <v>1337</v>
      </c>
      <c r="AR12" s="65">
        <v>0</v>
      </c>
      <c r="AS12" s="65">
        <v>0</v>
      </c>
      <c r="AT12" s="65">
        <v>251.4</v>
      </c>
      <c r="AU12" s="65">
        <v>317.5</v>
      </c>
      <c r="AV12" s="65">
        <v>0</v>
      </c>
      <c r="AW12" s="65">
        <v>0</v>
      </c>
      <c r="AX12" s="65">
        <v>300</v>
      </c>
      <c r="AY12" s="65">
        <v>301</v>
      </c>
      <c r="AZ12" s="65">
        <v>0</v>
      </c>
      <c r="BA12" s="65">
        <v>0</v>
      </c>
      <c r="BB12" s="65">
        <v>647</v>
      </c>
      <c r="BC12" s="65">
        <v>647</v>
      </c>
      <c r="BD12" s="65">
        <v>0</v>
      </c>
      <c r="BE12" s="65">
        <v>0</v>
      </c>
      <c r="BF12" s="65">
        <v>303</v>
      </c>
      <c r="BG12" s="65">
        <v>305</v>
      </c>
      <c r="BH12" s="65">
        <v>427</v>
      </c>
      <c r="BI12" s="65">
        <v>466</v>
      </c>
      <c r="BJ12" s="65">
        <v>985</v>
      </c>
      <c r="BK12" s="65">
        <v>647</v>
      </c>
      <c r="BL12" s="65">
        <v>798</v>
      </c>
      <c r="BM12" s="65">
        <v>805</v>
      </c>
      <c r="BN12" s="65">
        <v>0</v>
      </c>
      <c r="BO12" s="65">
        <v>0</v>
      </c>
      <c r="BP12" s="65">
        <v>173.4</v>
      </c>
      <c r="BQ12" s="65">
        <v>356.7</v>
      </c>
      <c r="BR12" s="65">
        <v>325.5</v>
      </c>
      <c r="BS12" s="65">
        <v>534.35</v>
      </c>
      <c r="BT12" s="65">
        <v>0</v>
      </c>
      <c r="BU12" s="65">
        <v>0</v>
      </c>
      <c r="BV12" s="65">
        <v>1968.79</v>
      </c>
      <c r="BW12" s="65">
        <v>1875.04</v>
      </c>
      <c r="BX12" s="65">
        <v>0</v>
      </c>
      <c r="BY12" s="65">
        <v>0</v>
      </c>
      <c r="BZ12" s="65">
        <v>612</v>
      </c>
      <c r="CA12" s="65">
        <v>563</v>
      </c>
      <c r="CB12" s="65">
        <v>0</v>
      </c>
      <c r="CC12" s="65">
        <v>0</v>
      </c>
      <c r="CD12" s="65">
        <v>306</v>
      </c>
      <c r="CE12" s="65">
        <v>534</v>
      </c>
      <c r="CF12" s="66">
        <v>0</v>
      </c>
      <c r="CG12" s="47">
        <v>3</v>
      </c>
    </row>
    <row r="13" spans="1:85">
      <c r="A13" s="51">
        <f t="shared" si="3"/>
        <v>205.3</v>
      </c>
      <c r="B13" s="64">
        <v>1</v>
      </c>
      <c r="C13" s="65">
        <v>0</v>
      </c>
      <c r="D13" s="65">
        <v>265</v>
      </c>
      <c r="E13" s="65">
        <v>259</v>
      </c>
      <c r="F13" s="65">
        <v>284</v>
      </c>
      <c r="G13" s="65">
        <v>284</v>
      </c>
      <c r="H13" s="65">
        <v>302</v>
      </c>
      <c r="I13" s="65">
        <v>302</v>
      </c>
      <c r="J13" s="65">
        <v>316</v>
      </c>
      <c r="K13" s="65">
        <v>367</v>
      </c>
      <c r="L13" s="65">
        <v>367</v>
      </c>
      <c r="M13" s="65">
        <v>301</v>
      </c>
      <c r="N13" s="65">
        <v>408</v>
      </c>
      <c r="O13" s="65">
        <v>510</v>
      </c>
      <c r="P13" s="65">
        <v>509</v>
      </c>
      <c r="Q13" s="65">
        <v>509</v>
      </c>
      <c r="R13" s="65">
        <v>492</v>
      </c>
      <c r="S13" s="65">
        <v>478</v>
      </c>
      <c r="T13" s="65">
        <v>525</v>
      </c>
      <c r="U13" s="65">
        <v>484</v>
      </c>
      <c r="V13" s="65">
        <v>484</v>
      </c>
      <c r="W13" s="65">
        <v>415</v>
      </c>
      <c r="X13" s="65">
        <v>788</v>
      </c>
      <c r="Y13" s="65">
        <v>846</v>
      </c>
      <c r="Z13" s="65">
        <v>600</v>
      </c>
      <c r="AA13" s="65">
        <v>808</v>
      </c>
      <c r="AB13" s="65">
        <v>894</v>
      </c>
      <c r="AC13" s="65">
        <v>955</v>
      </c>
      <c r="AD13" s="65">
        <v>1251</v>
      </c>
      <c r="AE13" s="65">
        <v>1052</v>
      </c>
      <c r="AF13" s="65">
        <v>923</v>
      </c>
      <c r="AG13" s="65">
        <v>1180</v>
      </c>
      <c r="AH13" s="65">
        <v>1283</v>
      </c>
      <c r="AI13" s="65">
        <v>1283</v>
      </c>
      <c r="AJ13" s="65">
        <v>1484</v>
      </c>
      <c r="AK13" s="65">
        <v>1334</v>
      </c>
      <c r="AL13" s="65">
        <v>1334</v>
      </c>
      <c r="AM13" s="65">
        <v>1639</v>
      </c>
      <c r="AN13" s="65">
        <v>1177</v>
      </c>
      <c r="AO13" s="65">
        <v>1278</v>
      </c>
      <c r="AP13" s="65">
        <v>1289</v>
      </c>
      <c r="AQ13" s="65">
        <v>1330</v>
      </c>
      <c r="AR13" s="65">
        <v>0</v>
      </c>
      <c r="AS13" s="65">
        <v>0</v>
      </c>
      <c r="AT13" s="65">
        <v>250.4</v>
      </c>
      <c r="AU13" s="65">
        <v>310.60000000000002</v>
      </c>
      <c r="AV13" s="65">
        <v>0</v>
      </c>
      <c r="AW13" s="65">
        <v>0</v>
      </c>
      <c r="AX13" s="65">
        <v>300</v>
      </c>
      <c r="AY13" s="65">
        <v>300</v>
      </c>
      <c r="AZ13" s="65">
        <v>0</v>
      </c>
      <c r="BA13" s="65">
        <v>0</v>
      </c>
      <c r="BB13" s="65">
        <v>635</v>
      </c>
      <c r="BC13" s="65">
        <v>635</v>
      </c>
      <c r="BD13" s="65">
        <v>0</v>
      </c>
      <c r="BE13" s="65">
        <v>0</v>
      </c>
      <c r="BF13" s="65">
        <v>302</v>
      </c>
      <c r="BG13" s="65">
        <v>304</v>
      </c>
      <c r="BH13" s="65">
        <v>426</v>
      </c>
      <c r="BI13" s="65">
        <v>465</v>
      </c>
      <c r="BJ13" s="65">
        <v>984</v>
      </c>
      <c r="BK13" s="65">
        <v>635</v>
      </c>
      <c r="BL13" s="65">
        <v>792</v>
      </c>
      <c r="BM13" s="65">
        <v>798</v>
      </c>
      <c r="BN13" s="65">
        <v>0</v>
      </c>
      <c r="BO13" s="65">
        <v>0</v>
      </c>
      <c r="BP13" s="65">
        <v>171.4</v>
      </c>
      <c r="BQ13" s="65">
        <v>355.7</v>
      </c>
      <c r="BR13" s="65">
        <v>323.5</v>
      </c>
      <c r="BS13" s="65">
        <v>531.85</v>
      </c>
      <c r="BT13" s="65">
        <v>0</v>
      </c>
      <c r="BU13" s="65">
        <v>0</v>
      </c>
      <c r="BV13" s="65">
        <v>1960.65</v>
      </c>
      <c r="BW13" s="65">
        <v>1867.29</v>
      </c>
      <c r="BX13" s="65">
        <v>0</v>
      </c>
      <c r="BY13" s="65">
        <v>0</v>
      </c>
      <c r="BZ13" s="65">
        <v>605</v>
      </c>
      <c r="CA13" s="65">
        <v>556</v>
      </c>
      <c r="CB13" s="65">
        <v>0</v>
      </c>
      <c r="CC13" s="65">
        <v>0</v>
      </c>
      <c r="CD13" s="65">
        <v>298</v>
      </c>
      <c r="CE13" s="65">
        <v>528</v>
      </c>
      <c r="CF13" s="66">
        <v>0</v>
      </c>
      <c r="CG13" s="47">
        <v>4</v>
      </c>
    </row>
    <row r="14" spans="1:85">
      <c r="A14" s="51">
        <f t="shared" si="3"/>
        <v>204.3</v>
      </c>
      <c r="B14" s="64">
        <v>1</v>
      </c>
      <c r="C14" s="65">
        <v>0</v>
      </c>
      <c r="D14" s="65">
        <v>260</v>
      </c>
      <c r="E14" s="65">
        <v>255</v>
      </c>
      <c r="F14" s="65">
        <v>279</v>
      </c>
      <c r="G14" s="65">
        <v>279</v>
      </c>
      <c r="H14" s="65">
        <v>298</v>
      </c>
      <c r="I14" s="65">
        <v>296</v>
      </c>
      <c r="J14" s="65">
        <v>313</v>
      </c>
      <c r="K14" s="65">
        <v>359</v>
      </c>
      <c r="L14" s="65">
        <v>359</v>
      </c>
      <c r="M14" s="65">
        <v>298</v>
      </c>
      <c r="N14" s="65">
        <v>404</v>
      </c>
      <c r="O14" s="65">
        <v>505</v>
      </c>
      <c r="P14" s="65">
        <v>504</v>
      </c>
      <c r="Q14" s="65">
        <v>504</v>
      </c>
      <c r="R14" s="65">
        <v>486</v>
      </c>
      <c r="S14" s="65">
        <v>471</v>
      </c>
      <c r="T14" s="65">
        <v>521</v>
      </c>
      <c r="U14" s="65">
        <v>481</v>
      </c>
      <c r="V14" s="65">
        <v>481</v>
      </c>
      <c r="W14" s="65">
        <v>411</v>
      </c>
      <c r="X14" s="65">
        <v>744</v>
      </c>
      <c r="Y14" s="65">
        <v>798</v>
      </c>
      <c r="Z14" s="65">
        <v>571</v>
      </c>
      <c r="AA14" s="65">
        <v>805</v>
      </c>
      <c r="AB14" s="65">
        <v>842</v>
      </c>
      <c r="AC14" s="65">
        <v>902</v>
      </c>
      <c r="AD14" s="65">
        <v>1188</v>
      </c>
      <c r="AE14" s="65">
        <v>993</v>
      </c>
      <c r="AF14" s="65">
        <v>874</v>
      </c>
      <c r="AG14" s="65">
        <v>1111</v>
      </c>
      <c r="AH14" s="65">
        <v>1212</v>
      </c>
      <c r="AI14" s="65">
        <v>1212</v>
      </c>
      <c r="AJ14" s="65">
        <v>1473</v>
      </c>
      <c r="AK14" s="65">
        <v>1265</v>
      </c>
      <c r="AL14" s="65">
        <v>1265</v>
      </c>
      <c r="AM14" s="65">
        <v>1628</v>
      </c>
      <c r="AN14" s="65">
        <v>1092</v>
      </c>
      <c r="AO14" s="65">
        <v>1210</v>
      </c>
      <c r="AP14" s="65">
        <v>1224</v>
      </c>
      <c r="AQ14" s="65">
        <v>1263</v>
      </c>
      <c r="AR14" s="65">
        <v>0</v>
      </c>
      <c r="AS14" s="65">
        <v>0</v>
      </c>
      <c r="AT14" s="65">
        <v>249.4</v>
      </c>
      <c r="AU14" s="65">
        <v>300.60000000000002</v>
      </c>
      <c r="AV14" s="65">
        <v>0</v>
      </c>
      <c r="AW14" s="65">
        <v>0</v>
      </c>
      <c r="AX14" s="65">
        <v>299</v>
      </c>
      <c r="AY14" s="65">
        <v>300</v>
      </c>
      <c r="AZ14" s="65">
        <v>0</v>
      </c>
      <c r="BA14" s="65">
        <v>0</v>
      </c>
      <c r="BB14" s="65">
        <v>621</v>
      </c>
      <c r="BC14" s="65">
        <v>621</v>
      </c>
      <c r="BD14" s="65">
        <v>0</v>
      </c>
      <c r="BE14" s="65">
        <v>0</v>
      </c>
      <c r="BF14" s="65">
        <v>301</v>
      </c>
      <c r="BG14" s="65">
        <v>303</v>
      </c>
      <c r="BH14" s="65">
        <v>425</v>
      </c>
      <c r="BI14" s="65">
        <v>464</v>
      </c>
      <c r="BJ14" s="65">
        <v>983</v>
      </c>
      <c r="BK14" s="65">
        <v>621</v>
      </c>
      <c r="BL14" s="65">
        <v>787</v>
      </c>
      <c r="BM14" s="65">
        <v>792</v>
      </c>
      <c r="BN14" s="65">
        <v>0</v>
      </c>
      <c r="BO14" s="65">
        <v>0</v>
      </c>
      <c r="BP14" s="65">
        <v>169.4</v>
      </c>
      <c r="BQ14" s="65">
        <v>354.7</v>
      </c>
      <c r="BR14" s="65">
        <v>321.5</v>
      </c>
      <c r="BS14" s="65">
        <v>529.35</v>
      </c>
      <c r="BT14" s="65">
        <v>0</v>
      </c>
      <c r="BU14" s="65">
        <v>0</v>
      </c>
      <c r="BV14" s="65">
        <v>1952.51</v>
      </c>
      <c r="BW14" s="65">
        <v>1859.53</v>
      </c>
      <c r="BX14" s="65">
        <v>0</v>
      </c>
      <c r="BY14" s="65">
        <v>0</v>
      </c>
      <c r="BZ14" s="65">
        <v>597</v>
      </c>
      <c r="CA14" s="65">
        <v>548</v>
      </c>
      <c r="CB14" s="65">
        <v>0</v>
      </c>
      <c r="CC14" s="65">
        <v>0</v>
      </c>
      <c r="CD14" s="65">
        <v>290</v>
      </c>
      <c r="CE14" s="65">
        <v>523</v>
      </c>
      <c r="CF14" s="66">
        <v>0</v>
      </c>
      <c r="CG14" s="47">
        <v>5</v>
      </c>
    </row>
    <row r="15" spans="1:85">
      <c r="A15" s="51">
        <f t="shared" si="3"/>
        <v>203.3</v>
      </c>
      <c r="B15" s="64">
        <v>1</v>
      </c>
      <c r="C15" s="65">
        <v>0</v>
      </c>
      <c r="D15" s="65">
        <v>255</v>
      </c>
      <c r="E15" s="65">
        <v>250</v>
      </c>
      <c r="F15" s="65">
        <v>275</v>
      </c>
      <c r="G15" s="65">
        <v>275</v>
      </c>
      <c r="H15" s="65">
        <v>292</v>
      </c>
      <c r="I15" s="65">
        <v>291</v>
      </c>
      <c r="J15" s="65">
        <v>307</v>
      </c>
      <c r="K15" s="65">
        <v>356</v>
      </c>
      <c r="L15" s="65">
        <v>356</v>
      </c>
      <c r="M15" s="65">
        <v>294</v>
      </c>
      <c r="N15" s="65">
        <v>400</v>
      </c>
      <c r="O15" s="65">
        <v>503</v>
      </c>
      <c r="P15" s="65">
        <v>500</v>
      </c>
      <c r="Q15" s="65">
        <v>500</v>
      </c>
      <c r="R15" s="65">
        <v>481</v>
      </c>
      <c r="S15" s="65">
        <v>464</v>
      </c>
      <c r="T15" s="65">
        <v>516</v>
      </c>
      <c r="U15" s="65">
        <v>477</v>
      </c>
      <c r="V15" s="65">
        <v>477</v>
      </c>
      <c r="W15" s="65">
        <v>408</v>
      </c>
      <c r="X15" s="65">
        <v>737</v>
      </c>
      <c r="Y15" s="65">
        <v>792</v>
      </c>
      <c r="Z15" s="65">
        <v>567</v>
      </c>
      <c r="AA15" s="65">
        <v>798</v>
      </c>
      <c r="AB15" s="65">
        <v>832</v>
      </c>
      <c r="AC15" s="65">
        <v>895</v>
      </c>
      <c r="AD15" s="65">
        <v>1186</v>
      </c>
      <c r="AE15" s="65">
        <v>985</v>
      </c>
      <c r="AF15" s="65">
        <v>864</v>
      </c>
      <c r="AG15" s="65">
        <v>1102</v>
      </c>
      <c r="AH15" s="65">
        <v>1203</v>
      </c>
      <c r="AI15" s="65">
        <v>1203</v>
      </c>
      <c r="AJ15" s="65">
        <v>1396</v>
      </c>
      <c r="AK15" s="65">
        <v>1261</v>
      </c>
      <c r="AL15" s="65">
        <v>1261</v>
      </c>
      <c r="AM15" s="65">
        <v>1617</v>
      </c>
      <c r="AN15" s="65">
        <v>1068</v>
      </c>
      <c r="AO15" s="65">
        <v>1206</v>
      </c>
      <c r="AP15" s="65">
        <v>1221</v>
      </c>
      <c r="AQ15" s="65">
        <v>1255</v>
      </c>
      <c r="AR15" s="65">
        <v>0</v>
      </c>
      <c r="AS15" s="65">
        <v>0</v>
      </c>
      <c r="AT15" s="65">
        <v>248.4</v>
      </c>
      <c r="AU15" s="65">
        <v>290.89999999999998</v>
      </c>
      <c r="AV15" s="65">
        <v>0</v>
      </c>
      <c r="AW15" s="65">
        <v>0</v>
      </c>
      <c r="AX15" s="65">
        <v>299</v>
      </c>
      <c r="AY15" s="65">
        <v>299</v>
      </c>
      <c r="AZ15" s="65">
        <v>0</v>
      </c>
      <c r="BA15" s="65">
        <v>0</v>
      </c>
      <c r="BB15" s="65">
        <v>608</v>
      </c>
      <c r="BC15" s="65">
        <v>608</v>
      </c>
      <c r="BD15" s="65">
        <v>0</v>
      </c>
      <c r="BE15" s="65">
        <v>0</v>
      </c>
      <c r="BF15" s="65">
        <v>300</v>
      </c>
      <c r="BG15" s="65">
        <v>302</v>
      </c>
      <c r="BH15" s="65">
        <v>424</v>
      </c>
      <c r="BI15" s="65">
        <v>463</v>
      </c>
      <c r="BJ15" s="65">
        <v>982</v>
      </c>
      <c r="BK15" s="65">
        <v>608</v>
      </c>
      <c r="BL15" s="65">
        <v>752</v>
      </c>
      <c r="BM15" s="65">
        <v>787</v>
      </c>
      <c r="BN15" s="65">
        <v>0</v>
      </c>
      <c r="BO15" s="65">
        <v>0</v>
      </c>
      <c r="BP15" s="65">
        <v>167.4</v>
      </c>
      <c r="BQ15" s="65">
        <v>353.7</v>
      </c>
      <c r="BR15" s="65">
        <v>319.5</v>
      </c>
      <c r="BS15" s="65">
        <v>526.85</v>
      </c>
      <c r="BT15" s="65">
        <v>0</v>
      </c>
      <c r="BU15" s="65">
        <v>0</v>
      </c>
      <c r="BV15" s="65">
        <v>1944.37</v>
      </c>
      <c r="BW15" s="65">
        <v>1851.78</v>
      </c>
      <c r="BX15" s="65">
        <v>0</v>
      </c>
      <c r="BY15" s="65">
        <v>0</v>
      </c>
      <c r="BZ15" s="65">
        <v>589</v>
      </c>
      <c r="CA15" s="65">
        <v>539</v>
      </c>
      <c r="CB15" s="65">
        <v>0</v>
      </c>
      <c r="CC15" s="65">
        <v>0</v>
      </c>
      <c r="CD15" s="65">
        <v>283</v>
      </c>
      <c r="CE15" s="65">
        <v>518</v>
      </c>
      <c r="CF15" s="66">
        <v>0</v>
      </c>
      <c r="CG15" s="47">
        <v>6</v>
      </c>
    </row>
    <row r="16" spans="1:85">
      <c r="A16" s="51">
        <f t="shared" si="3"/>
        <v>202.3</v>
      </c>
      <c r="B16" s="64">
        <v>1</v>
      </c>
      <c r="C16" s="65">
        <v>0</v>
      </c>
      <c r="D16" s="65">
        <v>250</v>
      </c>
      <c r="E16" s="65">
        <v>247</v>
      </c>
      <c r="F16" s="65">
        <v>271</v>
      </c>
      <c r="G16" s="65">
        <v>271</v>
      </c>
      <c r="H16" s="65">
        <v>289</v>
      </c>
      <c r="I16" s="65">
        <v>287</v>
      </c>
      <c r="J16" s="65">
        <v>302</v>
      </c>
      <c r="K16" s="65">
        <v>352</v>
      </c>
      <c r="L16" s="65">
        <v>352</v>
      </c>
      <c r="M16" s="65">
        <v>291</v>
      </c>
      <c r="N16" s="65">
        <v>397</v>
      </c>
      <c r="O16" s="65">
        <v>498</v>
      </c>
      <c r="P16" s="65">
        <v>494</v>
      </c>
      <c r="Q16" s="65">
        <v>494</v>
      </c>
      <c r="R16" s="65">
        <v>474</v>
      </c>
      <c r="S16" s="65">
        <v>458</v>
      </c>
      <c r="T16" s="65">
        <v>508</v>
      </c>
      <c r="U16" s="65">
        <v>471</v>
      </c>
      <c r="V16" s="65">
        <v>471</v>
      </c>
      <c r="W16" s="65">
        <v>404</v>
      </c>
      <c r="X16" s="65">
        <v>730</v>
      </c>
      <c r="Y16" s="65">
        <v>786</v>
      </c>
      <c r="Z16" s="65">
        <v>565</v>
      </c>
      <c r="AA16" s="65">
        <v>792</v>
      </c>
      <c r="AB16" s="65">
        <v>825</v>
      </c>
      <c r="AC16" s="65">
        <v>889</v>
      </c>
      <c r="AD16" s="65">
        <v>1181</v>
      </c>
      <c r="AE16" s="65">
        <v>977</v>
      </c>
      <c r="AF16" s="65">
        <v>855</v>
      </c>
      <c r="AG16" s="65">
        <v>1094</v>
      </c>
      <c r="AH16" s="65">
        <v>1192</v>
      </c>
      <c r="AI16" s="65">
        <v>1192</v>
      </c>
      <c r="AJ16" s="65">
        <v>1389</v>
      </c>
      <c r="AK16" s="65">
        <v>1254</v>
      </c>
      <c r="AL16" s="65">
        <v>1254</v>
      </c>
      <c r="AM16" s="65">
        <v>1605</v>
      </c>
      <c r="AN16" s="65">
        <v>1056</v>
      </c>
      <c r="AO16" s="65">
        <v>1203</v>
      </c>
      <c r="AP16" s="65">
        <v>1215</v>
      </c>
      <c r="AQ16" s="65">
        <v>1250</v>
      </c>
      <c r="AR16" s="65">
        <v>0</v>
      </c>
      <c r="AS16" s="65">
        <v>0</v>
      </c>
      <c r="AT16" s="65">
        <v>247.4</v>
      </c>
      <c r="AU16" s="65">
        <v>283.89999999999998</v>
      </c>
      <c r="AV16" s="65">
        <v>0</v>
      </c>
      <c r="AW16" s="65">
        <v>0</v>
      </c>
      <c r="AX16" s="65">
        <v>298</v>
      </c>
      <c r="AY16" s="65">
        <v>299</v>
      </c>
      <c r="AZ16" s="65">
        <v>0</v>
      </c>
      <c r="BA16" s="65">
        <v>0</v>
      </c>
      <c r="BB16" s="65">
        <v>606</v>
      </c>
      <c r="BC16" s="65">
        <v>606</v>
      </c>
      <c r="BD16" s="65">
        <v>0</v>
      </c>
      <c r="BE16" s="65">
        <v>0</v>
      </c>
      <c r="BF16" s="65">
        <v>299</v>
      </c>
      <c r="BG16" s="65">
        <v>301</v>
      </c>
      <c r="BH16" s="65">
        <v>422</v>
      </c>
      <c r="BI16" s="65">
        <v>462</v>
      </c>
      <c r="BJ16" s="65">
        <v>980</v>
      </c>
      <c r="BK16" s="65">
        <v>606</v>
      </c>
      <c r="BL16" s="65">
        <v>727</v>
      </c>
      <c r="BM16" s="65">
        <v>752</v>
      </c>
      <c r="BN16" s="65">
        <v>0</v>
      </c>
      <c r="BO16" s="65">
        <v>0</v>
      </c>
      <c r="BP16" s="65">
        <v>165.4</v>
      </c>
      <c r="BQ16" s="65">
        <v>352.7</v>
      </c>
      <c r="BR16" s="65">
        <v>317.5</v>
      </c>
      <c r="BS16" s="65">
        <v>524.35</v>
      </c>
      <c r="BT16" s="65">
        <v>0</v>
      </c>
      <c r="BU16" s="65">
        <v>0</v>
      </c>
      <c r="BV16" s="65">
        <v>1936.23</v>
      </c>
      <c r="BW16" s="65">
        <v>1844.03</v>
      </c>
      <c r="BX16" s="65">
        <v>0</v>
      </c>
      <c r="BY16" s="65">
        <v>0</v>
      </c>
      <c r="BZ16" s="65">
        <v>581</v>
      </c>
      <c r="CA16" s="65">
        <v>531</v>
      </c>
      <c r="CB16" s="65">
        <v>0</v>
      </c>
      <c r="CC16" s="65">
        <v>0</v>
      </c>
      <c r="CD16" s="65">
        <v>275</v>
      </c>
      <c r="CE16" s="65">
        <v>513</v>
      </c>
      <c r="CF16" s="66">
        <v>0</v>
      </c>
      <c r="CG16" s="47">
        <v>7</v>
      </c>
    </row>
    <row r="17" spans="1:85">
      <c r="A17" s="51">
        <f t="shared" si="3"/>
        <v>201.3</v>
      </c>
      <c r="B17" s="64">
        <v>1</v>
      </c>
      <c r="C17" s="65">
        <v>0</v>
      </c>
      <c r="D17" s="65">
        <v>233</v>
      </c>
      <c r="E17" s="65">
        <v>230</v>
      </c>
      <c r="F17" s="65">
        <v>255</v>
      </c>
      <c r="G17" s="65">
        <v>255</v>
      </c>
      <c r="H17" s="65">
        <v>269</v>
      </c>
      <c r="I17" s="65">
        <v>268</v>
      </c>
      <c r="J17" s="65">
        <v>284</v>
      </c>
      <c r="K17" s="65">
        <v>331</v>
      </c>
      <c r="L17" s="65">
        <v>331</v>
      </c>
      <c r="M17" s="65">
        <v>275</v>
      </c>
      <c r="N17" s="65">
        <v>375</v>
      </c>
      <c r="O17" s="65">
        <v>468</v>
      </c>
      <c r="P17" s="65">
        <v>466</v>
      </c>
      <c r="Q17" s="65">
        <v>466</v>
      </c>
      <c r="R17" s="65">
        <v>446</v>
      </c>
      <c r="S17" s="65">
        <v>429</v>
      </c>
      <c r="T17" s="65">
        <v>480</v>
      </c>
      <c r="U17" s="65">
        <v>445</v>
      </c>
      <c r="V17" s="65">
        <v>445</v>
      </c>
      <c r="W17" s="65">
        <v>382</v>
      </c>
      <c r="X17" s="65">
        <v>687</v>
      </c>
      <c r="Y17" s="65">
        <v>743</v>
      </c>
      <c r="Z17" s="65">
        <v>534</v>
      </c>
      <c r="AA17" s="65">
        <v>750</v>
      </c>
      <c r="AB17" s="65">
        <v>775</v>
      </c>
      <c r="AC17" s="65">
        <v>839</v>
      </c>
      <c r="AD17" s="65">
        <v>1122</v>
      </c>
      <c r="AE17" s="65">
        <v>923</v>
      </c>
      <c r="AF17" s="65">
        <v>808</v>
      </c>
      <c r="AG17" s="65">
        <v>1031</v>
      </c>
      <c r="AH17" s="65">
        <v>1128</v>
      </c>
      <c r="AI17" s="65">
        <v>1128</v>
      </c>
      <c r="AJ17" s="65">
        <v>1313</v>
      </c>
      <c r="AK17" s="65">
        <v>1188</v>
      </c>
      <c r="AL17" s="65">
        <v>1188</v>
      </c>
      <c r="AM17" s="65">
        <v>1515</v>
      </c>
      <c r="AN17" s="65">
        <v>994</v>
      </c>
      <c r="AO17" s="65">
        <v>1141</v>
      </c>
      <c r="AP17" s="65">
        <v>1153</v>
      </c>
      <c r="AQ17" s="65">
        <v>1183</v>
      </c>
      <c r="AR17" s="65">
        <v>0</v>
      </c>
      <c r="AS17" s="65">
        <v>0</v>
      </c>
      <c r="AT17" s="65">
        <v>246.4</v>
      </c>
      <c r="AU17" s="65">
        <v>276.89999999999998</v>
      </c>
      <c r="AV17" s="65">
        <v>0</v>
      </c>
      <c r="AW17" s="65">
        <v>0</v>
      </c>
      <c r="AX17" s="65">
        <v>297</v>
      </c>
      <c r="AY17" s="65">
        <v>298</v>
      </c>
      <c r="AZ17" s="65">
        <v>0</v>
      </c>
      <c r="BA17" s="65">
        <v>0</v>
      </c>
      <c r="BB17" s="65">
        <v>572</v>
      </c>
      <c r="BC17" s="65">
        <v>572</v>
      </c>
      <c r="BD17" s="65">
        <v>0</v>
      </c>
      <c r="BE17" s="65">
        <v>0</v>
      </c>
      <c r="BF17" s="65">
        <v>298</v>
      </c>
      <c r="BG17" s="65">
        <v>300</v>
      </c>
      <c r="BH17" s="65">
        <v>421</v>
      </c>
      <c r="BI17" s="65">
        <v>460</v>
      </c>
      <c r="BJ17" s="65">
        <v>979</v>
      </c>
      <c r="BK17" s="65">
        <v>572</v>
      </c>
      <c r="BL17" s="65">
        <v>665</v>
      </c>
      <c r="BM17" s="65">
        <v>692</v>
      </c>
      <c r="BN17" s="65">
        <v>0</v>
      </c>
      <c r="BO17" s="65">
        <v>0</v>
      </c>
      <c r="BP17" s="65">
        <v>163.4</v>
      </c>
      <c r="BQ17" s="65">
        <v>351.7</v>
      </c>
      <c r="BR17" s="65">
        <v>315.5</v>
      </c>
      <c r="BS17" s="65">
        <v>521.85</v>
      </c>
      <c r="BT17" s="65">
        <v>0</v>
      </c>
      <c r="BU17" s="65">
        <v>0</v>
      </c>
      <c r="BV17" s="65">
        <v>1928.09</v>
      </c>
      <c r="BW17" s="65">
        <v>1836.28</v>
      </c>
      <c r="BX17" s="65">
        <v>0</v>
      </c>
      <c r="BY17" s="65">
        <v>0</v>
      </c>
      <c r="BZ17" s="65">
        <v>573</v>
      </c>
      <c r="CA17" s="65">
        <v>524</v>
      </c>
      <c r="CB17" s="65">
        <v>0</v>
      </c>
      <c r="CC17" s="65">
        <v>0</v>
      </c>
      <c r="CD17" s="65">
        <v>267</v>
      </c>
      <c r="CE17" s="65">
        <v>508</v>
      </c>
      <c r="CF17" s="66">
        <v>0</v>
      </c>
      <c r="CG17" s="47">
        <v>8</v>
      </c>
    </row>
    <row r="18" spans="1:85">
      <c r="A18" s="51">
        <f t="shared" si="3"/>
        <v>200.3</v>
      </c>
      <c r="B18" s="64">
        <v>1</v>
      </c>
      <c r="C18" s="65">
        <v>0</v>
      </c>
      <c r="D18" s="65">
        <v>229</v>
      </c>
      <c r="E18" s="65">
        <v>228</v>
      </c>
      <c r="F18" s="65">
        <v>251</v>
      </c>
      <c r="G18" s="65">
        <v>251</v>
      </c>
      <c r="H18" s="65">
        <v>266</v>
      </c>
      <c r="I18" s="65">
        <v>265</v>
      </c>
      <c r="J18" s="65">
        <v>279</v>
      </c>
      <c r="K18" s="65">
        <v>327</v>
      </c>
      <c r="L18" s="65">
        <v>327</v>
      </c>
      <c r="M18" s="65">
        <v>272</v>
      </c>
      <c r="N18" s="65">
        <v>371</v>
      </c>
      <c r="O18" s="65">
        <v>464</v>
      </c>
      <c r="P18" s="65">
        <v>460</v>
      </c>
      <c r="Q18" s="65">
        <v>460</v>
      </c>
      <c r="R18" s="65">
        <v>440</v>
      </c>
      <c r="S18" s="65">
        <v>424</v>
      </c>
      <c r="T18" s="65">
        <v>472</v>
      </c>
      <c r="U18" s="65">
        <v>438</v>
      </c>
      <c r="V18" s="65">
        <v>438</v>
      </c>
      <c r="W18" s="65">
        <v>375</v>
      </c>
      <c r="X18" s="65">
        <v>681</v>
      </c>
      <c r="Y18" s="65">
        <v>732</v>
      </c>
      <c r="Z18" s="65">
        <v>529</v>
      </c>
      <c r="AA18" s="65">
        <v>717</v>
      </c>
      <c r="AB18" s="65">
        <v>770</v>
      </c>
      <c r="AC18" s="65">
        <v>835</v>
      </c>
      <c r="AD18" s="65">
        <v>1117</v>
      </c>
      <c r="AE18" s="65">
        <v>917</v>
      </c>
      <c r="AF18" s="65">
        <v>796</v>
      </c>
      <c r="AG18" s="65">
        <v>1017</v>
      </c>
      <c r="AH18" s="65">
        <v>1117</v>
      </c>
      <c r="AI18" s="65">
        <v>1117</v>
      </c>
      <c r="AJ18" s="65">
        <v>1305</v>
      </c>
      <c r="AK18" s="65">
        <v>1183</v>
      </c>
      <c r="AL18" s="65">
        <v>1183</v>
      </c>
      <c r="AM18" s="65">
        <v>1508</v>
      </c>
      <c r="AN18" s="65">
        <v>983</v>
      </c>
      <c r="AO18" s="65">
        <v>1139</v>
      </c>
      <c r="AP18" s="65">
        <v>1149</v>
      </c>
      <c r="AQ18" s="65">
        <v>1181</v>
      </c>
      <c r="AR18" s="65">
        <v>0</v>
      </c>
      <c r="AS18" s="65">
        <v>0</v>
      </c>
      <c r="AT18" s="65">
        <v>245.4</v>
      </c>
      <c r="AU18" s="65">
        <v>267</v>
      </c>
      <c r="AV18" s="65">
        <v>0</v>
      </c>
      <c r="AW18" s="65">
        <v>0</v>
      </c>
      <c r="AX18" s="65">
        <v>297</v>
      </c>
      <c r="AY18" s="65">
        <v>297</v>
      </c>
      <c r="AZ18" s="65">
        <v>0</v>
      </c>
      <c r="BA18" s="65">
        <v>0</v>
      </c>
      <c r="BB18" s="65">
        <v>544</v>
      </c>
      <c r="BC18" s="65">
        <v>544</v>
      </c>
      <c r="BD18" s="65">
        <v>0</v>
      </c>
      <c r="BE18" s="65">
        <v>0</v>
      </c>
      <c r="BF18" s="65">
        <v>297</v>
      </c>
      <c r="BG18" s="65">
        <v>299</v>
      </c>
      <c r="BH18" s="65">
        <v>420</v>
      </c>
      <c r="BI18" s="65">
        <v>459</v>
      </c>
      <c r="BJ18" s="65">
        <v>978</v>
      </c>
      <c r="BK18" s="65">
        <v>544</v>
      </c>
      <c r="BL18" s="65">
        <v>662</v>
      </c>
      <c r="BM18" s="65">
        <v>665</v>
      </c>
      <c r="BN18" s="65">
        <v>0</v>
      </c>
      <c r="BO18" s="65">
        <v>0</v>
      </c>
      <c r="BP18" s="65">
        <v>161.4</v>
      </c>
      <c r="BQ18" s="65">
        <v>350.7</v>
      </c>
      <c r="BR18" s="65">
        <v>313.5</v>
      </c>
      <c r="BS18" s="65">
        <v>519.35</v>
      </c>
      <c r="BT18" s="65">
        <v>0</v>
      </c>
      <c r="BU18" s="65">
        <v>0</v>
      </c>
      <c r="BV18" s="65">
        <v>1919.95</v>
      </c>
      <c r="BW18" s="65">
        <v>1828.52</v>
      </c>
      <c r="BX18" s="65">
        <v>0</v>
      </c>
      <c r="BY18" s="65">
        <v>0</v>
      </c>
      <c r="BZ18" s="65">
        <v>565</v>
      </c>
      <c r="CA18" s="65">
        <v>516</v>
      </c>
      <c r="CB18" s="65">
        <v>0</v>
      </c>
      <c r="CC18" s="65">
        <v>0</v>
      </c>
      <c r="CD18" s="65">
        <v>259</v>
      </c>
      <c r="CE18" s="65">
        <v>502</v>
      </c>
      <c r="CF18" s="66">
        <v>0</v>
      </c>
      <c r="CG18" s="47">
        <v>9</v>
      </c>
    </row>
    <row r="19" spans="1:85">
      <c r="A19" s="51">
        <f t="shared" si="3"/>
        <v>199.3</v>
      </c>
      <c r="B19" s="64">
        <v>1</v>
      </c>
      <c r="C19" s="65">
        <v>0</v>
      </c>
      <c r="D19" s="65">
        <v>226</v>
      </c>
      <c r="E19" s="65">
        <v>225</v>
      </c>
      <c r="F19" s="65">
        <v>250</v>
      </c>
      <c r="G19" s="65">
        <v>250</v>
      </c>
      <c r="H19" s="65">
        <v>264</v>
      </c>
      <c r="I19" s="65">
        <v>262</v>
      </c>
      <c r="J19" s="65">
        <v>277</v>
      </c>
      <c r="K19" s="65">
        <v>324</v>
      </c>
      <c r="L19" s="65">
        <v>324</v>
      </c>
      <c r="M19" s="65">
        <v>270</v>
      </c>
      <c r="N19" s="65">
        <v>369</v>
      </c>
      <c r="O19" s="65">
        <v>460</v>
      </c>
      <c r="P19" s="65">
        <v>456</v>
      </c>
      <c r="Q19" s="65">
        <v>456</v>
      </c>
      <c r="R19" s="65">
        <v>436</v>
      </c>
      <c r="S19" s="65">
        <v>418</v>
      </c>
      <c r="T19" s="65">
        <v>466</v>
      </c>
      <c r="U19" s="65">
        <v>434</v>
      </c>
      <c r="V19" s="65">
        <v>434</v>
      </c>
      <c r="W19" s="65">
        <v>374</v>
      </c>
      <c r="X19" s="65">
        <v>673</v>
      </c>
      <c r="Y19" s="65">
        <v>728</v>
      </c>
      <c r="Z19" s="65">
        <v>524</v>
      </c>
      <c r="AA19" s="65">
        <v>692</v>
      </c>
      <c r="AB19" s="65">
        <v>767</v>
      </c>
      <c r="AC19" s="65">
        <v>831</v>
      </c>
      <c r="AD19" s="65">
        <v>1116</v>
      </c>
      <c r="AE19" s="65">
        <v>912</v>
      </c>
      <c r="AF19" s="65">
        <v>791</v>
      </c>
      <c r="AG19" s="65">
        <v>1007</v>
      </c>
      <c r="AH19" s="65">
        <v>1110</v>
      </c>
      <c r="AI19" s="65">
        <v>1110</v>
      </c>
      <c r="AJ19" s="65">
        <v>1294</v>
      </c>
      <c r="AK19" s="65">
        <v>1182</v>
      </c>
      <c r="AL19" s="65">
        <v>1182</v>
      </c>
      <c r="AM19" s="65">
        <v>1494</v>
      </c>
      <c r="AN19" s="65">
        <v>977</v>
      </c>
      <c r="AO19" s="65">
        <v>1135</v>
      </c>
      <c r="AP19" s="65">
        <v>1149</v>
      </c>
      <c r="AQ19" s="65">
        <v>1181</v>
      </c>
      <c r="AR19" s="65">
        <v>0</v>
      </c>
      <c r="AS19" s="65">
        <v>0</v>
      </c>
      <c r="AT19" s="65">
        <v>244.4</v>
      </c>
      <c r="AU19" s="65">
        <v>247.6</v>
      </c>
      <c r="AV19" s="65">
        <v>0</v>
      </c>
      <c r="AW19" s="65">
        <v>0</v>
      </c>
      <c r="AX19" s="65">
        <v>296</v>
      </c>
      <c r="AY19" s="65">
        <v>297</v>
      </c>
      <c r="AZ19" s="65">
        <v>0</v>
      </c>
      <c r="BA19" s="65">
        <v>0</v>
      </c>
      <c r="BB19" s="65">
        <v>542</v>
      </c>
      <c r="BC19" s="65">
        <v>542</v>
      </c>
      <c r="BD19" s="65">
        <v>0</v>
      </c>
      <c r="BE19" s="65">
        <v>0</v>
      </c>
      <c r="BF19" s="65">
        <v>296</v>
      </c>
      <c r="BG19" s="65">
        <v>298</v>
      </c>
      <c r="BH19" s="65">
        <v>419</v>
      </c>
      <c r="BI19" s="65">
        <v>458</v>
      </c>
      <c r="BJ19" s="65">
        <v>977</v>
      </c>
      <c r="BK19" s="65">
        <v>542</v>
      </c>
      <c r="BL19" s="65">
        <v>659</v>
      </c>
      <c r="BM19" s="65">
        <v>662</v>
      </c>
      <c r="BN19" s="65">
        <v>0</v>
      </c>
      <c r="BO19" s="65">
        <v>0</v>
      </c>
      <c r="BP19" s="65">
        <v>159.4</v>
      </c>
      <c r="BQ19" s="65">
        <v>349.7</v>
      </c>
      <c r="BR19" s="65">
        <v>311.5</v>
      </c>
      <c r="BS19" s="65">
        <v>516.85</v>
      </c>
      <c r="BT19" s="65">
        <v>0</v>
      </c>
      <c r="BU19" s="65">
        <v>0</v>
      </c>
      <c r="BV19" s="65">
        <v>1911.81</v>
      </c>
      <c r="BW19" s="65">
        <v>1820.77</v>
      </c>
      <c r="BX19" s="65">
        <v>0</v>
      </c>
      <c r="BY19" s="65">
        <v>0</v>
      </c>
      <c r="BZ19" s="65">
        <v>557</v>
      </c>
      <c r="CA19" s="65">
        <v>507</v>
      </c>
      <c r="CB19" s="65">
        <v>0</v>
      </c>
      <c r="CC19" s="65">
        <v>0</v>
      </c>
      <c r="CD19" s="65">
        <v>252</v>
      </c>
      <c r="CE19" s="65">
        <v>497</v>
      </c>
      <c r="CF19" s="66">
        <v>0</v>
      </c>
      <c r="CG19" s="47">
        <v>10</v>
      </c>
    </row>
    <row r="20" spans="1:85">
      <c r="A20" s="51">
        <f t="shared" si="3"/>
        <v>198.3</v>
      </c>
      <c r="B20" s="64">
        <v>1</v>
      </c>
      <c r="C20" s="65">
        <v>0</v>
      </c>
      <c r="D20" s="65">
        <v>222</v>
      </c>
      <c r="E20" s="65">
        <v>220</v>
      </c>
      <c r="F20" s="65">
        <v>245</v>
      </c>
      <c r="G20" s="65">
        <v>245</v>
      </c>
      <c r="H20" s="65">
        <v>259</v>
      </c>
      <c r="I20" s="65">
        <v>257</v>
      </c>
      <c r="J20" s="65">
        <v>272</v>
      </c>
      <c r="K20" s="65">
        <v>317</v>
      </c>
      <c r="L20" s="65">
        <v>317</v>
      </c>
      <c r="M20" s="65">
        <v>266</v>
      </c>
      <c r="N20" s="65">
        <v>364</v>
      </c>
      <c r="O20" s="65">
        <v>453</v>
      </c>
      <c r="P20" s="65">
        <v>449</v>
      </c>
      <c r="Q20" s="65">
        <v>449</v>
      </c>
      <c r="R20" s="65">
        <v>429</v>
      </c>
      <c r="S20" s="65">
        <v>410</v>
      </c>
      <c r="T20" s="65">
        <v>457</v>
      </c>
      <c r="U20" s="65">
        <v>426</v>
      </c>
      <c r="V20" s="65">
        <v>426</v>
      </c>
      <c r="W20" s="65">
        <v>369</v>
      </c>
      <c r="X20" s="65">
        <v>663</v>
      </c>
      <c r="Y20" s="65">
        <v>718</v>
      </c>
      <c r="Z20" s="65">
        <v>517</v>
      </c>
      <c r="AA20" s="65">
        <v>665</v>
      </c>
      <c r="AB20" s="65">
        <v>761</v>
      </c>
      <c r="AC20" s="65">
        <v>825</v>
      </c>
      <c r="AD20" s="65">
        <v>1104</v>
      </c>
      <c r="AE20" s="65">
        <v>902</v>
      </c>
      <c r="AF20" s="65">
        <v>781</v>
      </c>
      <c r="AG20" s="65">
        <v>989</v>
      </c>
      <c r="AH20" s="65">
        <v>1097</v>
      </c>
      <c r="AI20" s="65">
        <v>1097</v>
      </c>
      <c r="AJ20" s="65">
        <v>1285</v>
      </c>
      <c r="AK20" s="65">
        <v>1176</v>
      </c>
      <c r="AL20" s="65">
        <v>1176</v>
      </c>
      <c r="AM20" s="65">
        <v>1483</v>
      </c>
      <c r="AN20" s="65">
        <v>963</v>
      </c>
      <c r="AO20" s="65">
        <v>1130</v>
      </c>
      <c r="AP20" s="65">
        <v>1141</v>
      </c>
      <c r="AQ20" s="65">
        <v>1168</v>
      </c>
      <c r="AR20" s="65">
        <v>0</v>
      </c>
      <c r="AS20" s="65">
        <v>0</v>
      </c>
      <c r="AT20" s="65">
        <v>243.4</v>
      </c>
      <c r="AU20" s="65">
        <v>238.2</v>
      </c>
      <c r="AV20" s="65">
        <v>0</v>
      </c>
      <c r="AW20" s="65">
        <v>0</v>
      </c>
      <c r="AX20" s="65">
        <v>296</v>
      </c>
      <c r="AY20" s="65">
        <v>296</v>
      </c>
      <c r="AZ20" s="65">
        <v>0</v>
      </c>
      <c r="BA20" s="65">
        <v>0</v>
      </c>
      <c r="BB20" s="65">
        <v>538</v>
      </c>
      <c r="BC20" s="65">
        <v>538</v>
      </c>
      <c r="BD20" s="65">
        <v>0</v>
      </c>
      <c r="BE20" s="65">
        <v>0</v>
      </c>
      <c r="BF20" s="65">
        <v>294</v>
      </c>
      <c r="BG20" s="65">
        <v>297</v>
      </c>
      <c r="BH20" s="65">
        <v>418</v>
      </c>
      <c r="BI20" s="65">
        <v>457</v>
      </c>
      <c r="BJ20" s="65">
        <v>976</v>
      </c>
      <c r="BK20" s="65">
        <v>538</v>
      </c>
      <c r="BL20" s="65">
        <v>617</v>
      </c>
      <c r="BM20" s="65">
        <v>659</v>
      </c>
      <c r="BN20" s="65">
        <v>0</v>
      </c>
      <c r="BO20" s="65">
        <v>0</v>
      </c>
      <c r="BP20" s="65">
        <v>157.4</v>
      </c>
      <c r="BQ20" s="65">
        <v>348.7</v>
      </c>
      <c r="BR20" s="65">
        <v>309.5</v>
      </c>
      <c r="BS20" s="65">
        <v>514.35</v>
      </c>
      <c r="BT20" s="65">
        <v>0</v>
      </c>
      <c r="BU20" s="65">
        <v>0</v>
      </c>
      <c r="BV20" s="65">
        <v>1903.67</v>
      </c>
      <c r="BW20" s="65">
        <v>1813.01</v>
      </c>
      <c r="BX20" s="65">
        <v>0</v>
      </c>
      <c r="BY20" s="65">
        <v>0</v>
      </c>
      <c r="BZ20" s="65">
        <v>549</v>
      </c>
      <c r="CA20" s="65">
        <v>499</v>
      </c>
      <c r="CB20" s="65">
        <v>0</v>
      </c>
      <c r="CC20" s="65">
        <v>0</v>
      </c>
      <c r="CD20" s="65">
        <v>244</v>
      </c>
      <c r="CE20" s="65">
        <v>492</v>
      </c>
      <c r="CF20" s="66">
        <v>0</v>
      </c>
      <c r="CG20" s="47">
        <v>11</v>
      </c>
    </row>
    <row r="21" spans="1:85">
      <c r="A21" s="51">
        <f t="shared" si="3"/>
        <v>197.3</v>
      </c>
      <c r="B21" s="64">
        <v>1</v>
      </c>
      <c r="C21" s="65">
        <v>0</v>
      </c>
      <c r="D21" s="65">
        <v>197</v>
      </c>
      <c r="E21" s="65">
        <v>196</v>
      </c>
      <c r="F21" s="65">
        <v>220</v>
      </c>
      <c r="G21" s="65">
        <v>220</v>
      </c>
      <c r="H21" s="65">
        <v>232</v>
      </c>
      <c r="I21" s="65">
        <v>230</v>
      </c>
      <c r="J21" s="65">
        <v>243</v>
      </c>
      <c r="K21" s="65">
        <v>284</v>
      </c>
      <c r="L21" s="65">
        <v>284</v>
      </c>
      <c r="M21" s="65">
        <v>238</v>
      </c>
      <c r="N21" s="65">
        <v>326</v>
      </c>
      <c r="O21" s="65">
        <v>408</v>
      </c>
      <c r="P21" s="65">
        <v>404</v>
      </c>
      <c r="Q21" s="65">
        <v>404</v>
      </c>
      <c r="R21" s="65">
        <v>385</v>
      </c>
      <c r="S21" s="65">
        <v>366</v>
      </c>
      <c r="T21" s="65">
        <v>408</v>
      </c>
      <c r="U21" s="65">
        <v>382</v>
      </c>
      <c r="V21" s="65">
        <v>382</v>
      </c>
      <c r="W21" s="65">
        <v>331</v>
      </c>
      <c r="X21" s="65">
        <v>594</v>
      </c>
      <c r="Y21" s="65">
        <v>644</v>
      </c>
      <c r="Z21" s="65">
        <v>464</v>
      </c>
      <c r="AA21" s="65">
        <v>630</v>
      </c>
      <c r="AB21" s="65">
        <v>686</v>
      </c>
      <c r="AC21" s="65">
        <v>742</v>
      </c>
      <c r="AD21" s="65">
        <v>998</v>
      </c>
      <c r="AE21" s="65">
        <v>810</v>
      </c>
      <c r="AF21" s="65">
        <v>699</v>
      </c>
      <c r="AG21" s="65">
        <v>885</v>
      </c>
      <c r="AH21" s="65">
        <v>985</v>
      </c>
      <c r="AI21" s="65">
        <v>985</v>
      </c>
      <c r="AJ21" s="65">
        <v>1213</v>
      </c>
      <c r="AK21" s="65">
        <v>1062</v>
      </c>
      <c r="AL21" s="65">
        <v>1062</v>
      </c>
      <c r="AM21" s="65">
        <v>1383</v>
      </c>
      <c r="AN21" s="65">
        <v>825</v>
      </c>
      <c r="AO21" s="65">
        <v>1021</v>
      </c>
      <c r="AP21" s="65">
        <v>1033</v>
      </c>
      <c r="AQ21" s="65">
        <v>1058</v>
      </c>
      <c r="AR21" s="65">
        <v>0</v>
      </c>
      <c r="AS21" s="65">
        <v>0</v>
      </c>
      <c r="AT21" s="65">
        <v>242.4</v>
      </c>
      <c r="AU21" s="65">
        <v>231.5</v>
      </c>
      <c r="AV21" s="65">
        <v>0</v>
      </c>
      <c r="AW21" s="65">
        <v>0</v>
      </c>
      <c r="AX21" s="65">
        <v>295</v>
      </c>
      <c r="AY21" s="65">
        <v>296</v>
      </c>
      <c r="AZ21" s="65">
        <v>0</v>
      </c>
      <c r="BA21" s="65">
        <v>0</v>
      </c>
      <c r="BB21" s="65">
        <v>508</v>
      </c>
      <c r="BC21" s="65">
        <v>508</v>
      </c>
      <c r="BD21" s="65">
        <v>0</v>
      </c>
      <c r="BE21" s="65">
        <v>0</v>
      </c>
      <c r="BF21" s="65">
        <v>293</v>
      </c>
      <c r="BG21" s="65">
        <v>296</v>
      </c>
      <c r="BH21" s="65">
        <v>417</v>
      </c>
      <c r="BI21" s="65">
        <v>456</v>
      </c>
      <c r="BJ21" s="65">
        <v>975</v>
      </c>
      <c r="BK21" s="65">
        <v>508</v>
      </c>
      <c r="BL21" s="65">
        <v>585</v>
      </c>
      <c r="BM21" s="65">
        <v>586</v>
      </c>
      <c r="BN21" s="65">
        <v>0</v>
      </c>
      <c r="BO21" s="65">
        <v>0</v>
      </c>
      <c r="BP21" s="65">
        <v>155.4</v>
      </c>
      <c r="BQ21" s="65">
        <v>347.7</v>
      </c>
      <c r="BR21" s="65">
        <v>307.5</v>
      </c>
      <c r="BS21" s="65">
        <v>511.85</v>
      </c>
      <c r="BT21" s="65">
        <v>0</v>
      </c>
      <c r="BU21" s="65">
        <v>0</v>
      </c>
      <c r="BV21" s="65">
        <v>1895.52</v>
      </c>
      <c r="BW21" s="65">
        <v>1805.26</v>
      </c>
      <c r="BX21" s="65">
        <v>0</v>
      </c>
      <c r="BY21" s="65">
        <v>0</v>
      </c>
      <c r="BZ21" s="65">
        <v>541</v>
      </c>
      <c r="CA21" s="65">
        <v>492</v>
      </c>
      <c r="CB21" s="65">
        <v>0</v>
      </c>
      <c r="CC21" s="65">
        <v>0</v>
      </c>
      <c r="CD21" s="65">
        <v>236</v>
      </c>
      <c r="CE21" s="65">
        <v>487</v>
      </c>
      <c r="CF21" s="66">
        <v>0</v>
      </c>
      <c r="CG21" s="47">
        <v>12</v>
      </c>
    </row>
    <row r="22" spans="1:85">
      <c r="A22" s="51">
        <f t="shared" si="3"/>
        <v>196.3</v>
      </c>
      <c r="B22" s="64">
        <v>1</v>
      </c>
      <c r="C22" s="65">
        <v>0</v>
      </c>
      <c r="D22" s="65">
        <v>194</v>
      </c>
      <c r="E22" s="65">
        <v>192</v>
      </c>
      <c r="F22" s="65">
        <v>218</v>
      </c>
      <c r="G22" s="65">
        <v>218</v>
      </c>
      <c r="H22" s="65">
        <v>229</v>
      </c>
      <c r="I22" s="65">
        <v>228</v>
      </c>
      <c r="J22" s="65">
        <v>240</v>
      </c>
      <c r="K22" s="65">
        <v>280</v>
      </c>
      <c r="L22" s="65">
        <v>280</v>
      </c>
      <c r="M22" s="65">
        <v>236</v>
      </c>
      <c r="N22" s="65">
        <v>323</v>
      </c>
      <c r="O22" s="65">
        <v>403</v>
      </c>
      <c r="P22" s="65">
        <v>399</v>
      </c>
      <c r="Q22" s="65">
        <v>399</v>
      </c>
      <c r="R22" s="65">
        <v>379</v>
      </c>
      <c r="S22" s="65">
        <v>361</v>
      </c>
      <c r="T22" s="65">
        <v>401</v>
      </c>
      <c r="U22" s="65">
        <v>376</v>
      </c>
      <c r="V22" s="65">
        <v>376</v>
      </c>
      <c r="W22" s="65">
        <v>326</v>
      </c>
      <c r="X22" s="65">
        <v>586</v>
      </c>
      <c r="Y22" s="65">
        <v>635</v>
      </c>
      <c r="Z22" s="65">
        <v>460</v>
      </c>
      <c r="AA22" s="65">
        <v>627</v>
      </c>
      <c r="AB22" s="65">
        <v>679</v>
      </c>
      <c r="AC22" s="65">
        <v>737</v>
      </c>
      <c r="AD22" s="65">
        <v>994</v>
      </c>
      <c r="AE22" s="65">
        <v>805</v>
      </c>
      <c r="AF22" s="65">
        <v>690</v>
      </c>
      <c r="AG22" s="65">
        <v>875</v>
      </c>
      <c r="AH22" s="65">
        <v>976</v>
      </c>
      <c r="AI22" s="65">
        <v>976</v>
      </c>
      <c r="AJ22" s="65">
        <v>1204</v>
      </c>
      <c r="AK22" s="65">
        <v>1057</v>
      </c>
      <c r="AL22" s="65">
        <v>1057</v>
      </c>
      <c r="AM22" s="65">
        <v>1322</v>
      </c>
      <c r="AN22" s="65">
        <v>816</v>
      </c>
      <c r="AO22" s="65">
        <v>1016</v>
      </c>
      <c r="AP22" s="65">
        <v>1026</v>
      </c>
      <c r="AQ22" s="65">
        <v>1055</v>
      </c>
      <c r="AR22" s="65">
        <v>0</v>
      </c>
      <c r="AS22" s="65">
        <v>0</v>
      </c>
      <c r="AT22" s="65">
        <v>241.4</v>
      </c>
      <c r="AU22" s="65">
        <v>220.8</v>
      </c>
      <c r="AV22" s="65">
        <v>0</v>
      </c>
      <c r="AW22" s="65">
        <v>0</v>
      </c>
      <c r="AX22" s="65">
        <v>295</v>
      </c>
      <c r="AY22" s="65">
        <v>295</v>
      </c>
      <c r="AZ22" s="65">
        <v>0</v>
      </c>
      <c r="BA22" s="65">
        <v>0</v>
      </c>
      <c r="BB22" s="65">
        <v>504</v>
      </c>
      <c r="BC22" s="65">
        <v>504</v>
      </c>
      <c r="BD22" s="65">
        <v>0</v>
      </c>
      <c r="BE22" s="65">
        <v>0</v>
      </c>
      <c r="BF22" s="65">
        <v>292</v>
      </c>
      <c r="BG22" s="65">
        <v>294</v>
      </c>
      <c r="BH22" s="65">
        <v>416</v>
      </c>
      <c r="BI22" s="65">
        <v>455</v>
      </c>
      <c r="BJ22" s="65">
        <v>974</v>
      </c>
      <c r="BK22" s="65">
        <v>504</v>
      </c>
      <c r="BL22" s="65">
        <v>537</v>
      </c>
      <c r="BM22" s="65">
        <v>585</v>
      </c>
      <c r="BN22" s="65">
        <v>0</v>
      </c>
      <c r="BO22" s="65">
        <v>0</v>
      </c>
      <c r="BP22" s="65">
        <v>153.4</v>
      </c>
      <c r="BQ22" s="65">
        <v>346.7</v>
      </c>
      <c r="BR22" s="65">
        <v>305.5</v>
      </c>
      <c r="BS22" s="65">
        <v>509.35</v>
      </c>
      <c r="BT22" s="65">
        <v>0</v>
      </c>
      <c r="BU22" s="65">
        <v>0</v>
      </c>
      <c r="BV22" s="65">
        <v>1887.38</v>
      </c>
      <c r="BW22" s="65">
        <v>1797.51</v>
      </c>
      <c r="BX22" s="65">
        <v>0</v>
      </c>
      <c r="BY22" s="65">
        <v>0</v>
      </c>
      <c r="BZ22" s="65">
        <v>534</v>
      </c>
      <c r="CA22" s="65">
        <v>484</v>
      </c>
      <c r="CB22" s="65">
        <v>0</v>
      </c>
      <c r="CC22" s="65">
        <v>0</v>
      </c>
      <c r="CD22" s="65">
        <v>229</v>
      </c>
      <c r="CE22" s="65">
        <v>482</v>
      </c>
      <c r="CF22" s="66">
        <v>0</v>
      </c>
      <c r="CG22" s="47">
        <v>13</v>
      </c>
    </row>
    <row r="23" spans="1:85">
      <c r="A23" s="51">
        <f t="shared" si="3"/>
        <v>195.3</v>
      </c>
      <c r="B23" s="64">
        <v>1</v>
      </c>
      <c r="C23" s="65">
        <v>0</v>
      </c>
      <c r="D23" s="65">
        <v>189</v>
      </c>
      <c r="E23" s="65">
        <v>188</v>
      </c>
      <c r="F23" s="65">
        <v>215</v>
      </c>
      <c r="G23" s="65">
        <v>215</v>
      </c>
      <c r="H23" s="65">
        <v>228</v>
      </c>
      <c r="I23" s="65">
        <v>226</v>
      </c>
      <c r="J23" s="65">
        <v>237</v>
      </c>
      <c r="K23" s="65">
        <v>276</v>
      </c>
      <c r="L23" s="65">
        <v>276</v>
      </c>
      <c r="M23" s="65">
        <v>232</v>
      </c>
      <c r="N23" s="65">
        <v>319</v>
      </c>
      <c r="O23" s="65">
        <v>397</v>
      </c>
      <c r="P23" s="65">
        <v>393</v>
      </c>
      <c r="Q23" s="65">
        <v>393</v>
      </c>
      <c r="R23" s="65">
        <v>374</v>
      </c>
      <c r="S23" s="65">
        <v>354</v>
      </c>
      <c r="T23" s="65">
        <v>389</v>
      </c>
      <c r="U23" s="65">
        <v>364</v>
      </c>
      <c r="V23" s="65">
        <v>364</v>
      </c>
      <c r="W23" s="65">
        <v>319</v>
      </c>
      <c r="X23" s="65">
        <v>580</v>
      </c>
      <c r="Y23" s="65">
        <v>627</v>
      </c>
      <c r="Z23" s="65">
        <v>452</v>
      </c>
      <c r="AA23" s="65">
        <v>616</v>
      </c>
      <c r="AB23" s="65">
        <v>674</v>
      </c>
      <c r="AC23" s="65">
        <v>732</v>
      </c>
      <c r="AD23" s="65">
        <v>986</v>
      </c>
      <c r="AE23" s="65">
        <v>772</v>
      </c>
      <c r="AF23" s="65">
        <v>682</v>
      </c>
      <c r="AG23" s="65">
        <v>863</v>
      </c>
      <c r="AH23" s="65">
        <v>967</v>
      </c>
      <c r="AI23" s="65">
        <v>967</v>
      </c>
      <c r="AJ23" s="65">
        <v>1202</v>
      </c>
      <c r="AK23" s="65">
        <v>1051</v>
      </c>
      <c r="AL23" s="65">
        <v>1051</v>
      </c>
      <c r="AM23" s="65">
        <v>1276</v>
      </c>
      <c r="AN23" s="65">
        <v>806</v>
      </c>
      <c r="AO23" s="65">
        <v>1011</v>
      </c>
      <c r="AP23" s="65">
        <v>1022</v>
      </c>
      <c r="AQ23" s="65">
        <v>1049</v>
      </c>
      <c r="AR23" s="65">
        <v>0</v>
      </c>
      <c r="AS23" s="65">
        <v>0</v>
      </c>
      <c r="AT23" s="65">
        <v>240.4</v>
      </c>
      <c r="AU23" s="65">
        <v>212.7</v>
      </c>
      <c r="AV23" s="65">
        <v>0</v>
      </c>
      <c r="AW23" s="65">
        <v>0</v>
      </c>
      <c r="AX23" s="65">
        <v>294</v>
      </c>
      <c r="AY23" s="65">
        <v>295</v>
      </c>
      <c r="AZ23" s="65">
        <v>0</v>
      </c>
      <c r="BA23" s="65">
        <v>0</v>
      </c>
      <c r="BB23" s="65">
        <v>500</v>
      </c>
      <c r="BC23" s="65">
        <v>500</v>
      </c>
      <c r="BD23" s="65">
        <v>0</v>
      </c>
      <c r="BE23" s="65">
        <v>0</v>
      </c>
      <c r="BF23" s="65">
        <v>291</v>
      </c>
      <c r="BG23" s="65">
        <v>293</v>
      </c>
      <c r="BH23" s="65">
        <v>415</v>
      </c>
      <c r="BI23" s="65">
        <v>454</v>
      </c>
      <c r="BJ23" s="65">
        <v>973</v>
      </c>
      <c r="BK23" s="65">
        <v>500</v>
      </c>
      <c r="BL23" s="65">
        <v>522</v>
      </c>
      <c r="BM23" s="65">
        <v>580</v>
      </c>
      <c r="BN23" s="65">
        <v>0</v>
      </c>
      <c r="BO23" s="65">
        <v>0</v>
      </c>
      <c r="BP23" s="65">
        <v>151.4</v>
      </c>
      <c r="BQ23" s="65">
        <v>345.7</v>
      </c>
      <c r="BR23" s="65">
        <v>303.5</v>
      </c>
      <c r="BS23" s="65">
        <v>506.85</v>
      </c>
      <c r="BT23" s="65">
        <v>0</v>
      </c>
      <c r="BU23" s="65">
        <v>0</v>
      </c>
      <c r="BV23" s="65">
        <v>1879.24</v>
      </c>
      <c r="BW23" s="65">
        <v>1789.76</v>
      </c>
      <c r="BX23" s="65">
        <v>0</v>
      </c>
      <c r="BY23" s="65">
        <v>0</v>
      </c>
      <c r="BZ23" s="65">
        <v>526</v>
      </c>
      <c r="CA23" s="65">
        <v>473</v>
      </c>
      <c r="CB23" s="65">
        <v>0</v>
      </c>
      <c r="CC23" s="65">
        <v>0</v>
      </c>
      <c r="CD23" s="65">
        <v>220</v>
      </c>
      <c r="CE23" s="65">
        <v>474</v>
      </c>
      <c r="CF23" s="66">
        <v>0</v>
      </c>
      <c r="CG23" s="47">
        <v>14</v>
      </c>
    </row>
    <row r="24" spans="1:85">
      <c r="A24" s="51">
        <f t="shared" si="3"/>
        <v>194.3</v>
      </c>
      <c r="B24" s="64">
        <v>1</v>
      </c>
      <c r="C24" s="65">
        <v>0</v>
      </c>
      <c r="D24" s="65">
        <v>185</v>
      </c>
      <c r="E24" s="65">
        <v>186</v>
      </c>
      <c r="F24" s="65">
        <v>210</v>
      </c>
      <c r="G24" s="65">
        <v>210</v>
      </c>
      <c r="H24" s="65">
        <v>223</v>
      </c>
      <c r="I24" s="65">
        <v>221</v>
      </c>
      <c r="J24" s="65">
        <v>233</v>
      </c>
      <c r="K24" s="65">
        <v>273</v>
      </c>
      <c r="L24" s="65">
        <v>273</v>
      </c>
      <c r="M24" s="65">
        <v>230</v>
      </c>
      <c r="N24" s="65">
        <v>315</v>
      </c>
      <c r="O24" s="65">
        <v>390</v>
      </c>
      <c r="P24" s="65">
        <v>388</v>
      </c>
      <c r="Q24" s="65">
        <v>388</v>
      </c>
      <c r="R24" s="65">
        <v>369</v>
      </c>
      <c r="S24" s="65">
        <v>347</v>
      </c>
      <c r="T24" s="65">
        <v>370</v>
      </c>
      <c r="U24" s="65">
        <v>345</v>
      </c>
      <c r="V24" s="65">
        <v>345</v>
      </c>
      <c r="W24" s="65">
        <v>310</v>
      </c>
      <c r="X24" s="65">
        <v>570</v>
      </c>
      <c r="Y24" s="65">
        <v>619</v>
      </c>
      <c r="Z24" s="65">
        <v>449</v>
      </c>
      <c r="AA24" s="65">
        <v>616</v>
      </c>
      <c r="AB24" s="65">
        <v>670</v>
      </c>
      <c r="AC24" s="65">
        <v>728</v>
      </c>
      <c r="AD24" s="65">
        <v>969</v>
      </c>
      <c r="AE24" s="65">
        <v>760</v>
      </c>
      <c r="AF24" s="65">
        <v>671</v>
      </c>
      <c r="AG24" s="65">
        <v>852</v>
      </c>
      <c r="AH24" s="65">
        <v>961</v>
      </c>
      <c r="AI24" s="65">
        <v>961</v>
      </c>
      <c r="AJ24" s="65">
        <v>1201</v>
      </c>
      <c r="AK24" s="65">
        <v>1043</v>
      </c>
      <c r="AL24" s="65">
        <v>1043</v>
      </c>
      <c r="AM24" s="65">
        <v>1274</v>
      </c>
      <c r="AN24" s="65">
        <v>795</v>
      </c>
      <c r="AO24" s="65">
        <v>1005</v>
      </c>
      <c r="AP24" s="65">
        <v>1021</v>
      </c>
      <c r="AQ24" s="65">
        <v>1045</v>
      </c>
      <c r="AR24" s="65">
        <v>0</v>
      </c>
      <c r="AS24" s="65">
        <v>0</v>
      </c>
      <c r="AT24" s="65">
        <v>239.4</v>
      </c>
      <c r="AU24" s="65">
        <v>207.10000000000002</v>
      </c>
      <c r="AV24" s="65">
        <v>0</v>
      </c>
      <c r="AW24" s="65">
        <v>0</v>
      </c>
      <c r="AX24" s="65">
        <v>293</v>
      </c>
      <c r="AY24" s="65">
        <v>294</v>
      </c>
      <c r="AZ24" s="65">
        <v>0</v>
      </c>
      <c r="BA24" s="65">
        <v>0</v>
      </c>
      <c r="BB24" s="65">
        <v>499</v>
      </c>
      <c r="BC24" s="65">
        <v>499</v>
      </c>
      <c r="BD24" s="65">
        <v>0</v>
      </c>
      <c r="BE24" s="65">
        <v>0</v>
      </c>
      <c r="BF24" s="65">
        <v>291</v>
      </c>
      <c r="BG24" s="65">
        <v>292</v>
      </c>
      <c r="BH24" s="65">
        <v>414</v>
      </c>
      <c r="BI24" s="65">
        <v>453</v>
      </c>
      <c r="BJ24" s="65">
        <v>972</v>
      </c>
      <c r="BK24" s="65">
        <v>499</v>
      </c>
      <c r="BL24" s="65">
        <v>519</v>
      </c>
      <c r="BM24" s="65">
        <v>580</v>
      </c>
      <c r="BN24" s="65">
        <v>0</v>
      </c>
      <c r="BO24" s="65">
        <v>0</v>
      </c>
      <c r="BP24" s="65">
        <v>149.4</v>
      </c>
      <c r="BQ24" s="65">
        <v>344.7</v>
      </c>
      <c r="BR24" s="65">
        <v>301.5</v>
      </c>
      <c r="BS24" s="65">
        <v>506.29999999999995</v>
      </c>
      <c r="BT24" s="65">
        <v>0</v>
      </c>
      <c r="BU24" s="65">
        <v>0</v>
      </c>
      <c r="BV24" s="65">
        <v>1871.11</v>
      </c>
      <c r="BW24" s="65">
        <v>1782.01</v>
      </c>
      <c r="BX24" s="65">
        <v>0</v>
      </c>
      <c r="BY24" s="65">
        <v>0</v>
      </c>
      <c r="BZ24" s="65">
        <v>517</v>
      </c>
      <c r="CA24" s="65">
        <v>470</v>
      </c>
      <c r="CB24" s="65">
        <v>0</v>
      </c>
      <c r="CC24" s="65">
        <v>0</v>
      </c>
      <c r="CD24" s="65">
        <v>213</v>
      </c>
      <c r="CE24" s="65">
        <v>472</v>
      </c>
      <c r="CF24" s="66">
        <v>0</v>
      </c>
      <c r="CG24" s="47">
        <v>15</v>
      </c>
    </row>
    <row r="25" spans="1:85">
      <c r="A25" s="51">
        <f t="shared" si="3"/>
        <v>193.3</v>
      </c>
      <c r="B25" s="64">
        <v>1</v>
      </c>
      <c r="C25" s="65">
        <v>0</v>
      </c>
      <c r="D25" s="65">
        <v>180</v>
      </c>
      <c r="E25" s="65">
        <v>181</v>
      </c>
      <c r="F25" s="65">
        <v>208</v>
      </c>
      <c r="G25" s="65">
        <v>208</v>
      </c>
      <c r="H25" s="65">
        <v>220</v>
      </c>
      <c r="I25" s="65">
        <v>219</v>
      </c>
      <c r="J25" s="65">
        <v>230</v>
      </c>
      <c r="K25" s="65">
        <v>270</v>
      </c>
      <c r="L25" s="65">
        <v>270</v>
      </c>
      <c r="M25" s="65">
        <v>228</v>
      </c>
      <c r="N25" s="65">
        <v>313</v>
      </c>
      <c r="O25" s="65">
        <v>385</v>
      </c>
      <c r="P25" s="65">
        <v>383</v>
      </c>
      <c r="Q25" s="65">
        <v>383</v>
      </c>
      <c r="R25" s="65">
        <v>365</v>
      </c>
      <c r="S25" s="65">
        <v>344</v>
      </c>
      <c r="T25" s="65">
        <v>366</v>
      </c>
      <c r="U25" s="65">
        <v>340</v>
      </c>
      <c r="V25" s="65">
        <v>340</v>
      </c>
      <c r="W25" s="65">
        <v>305</v>
      </c>
      <c r="X25" s="65">
        <v>560</v>
      </c>
      <c r="Y25" s="65">
        <v>610</v>
      </c>
      <c r="Z25" s="65">
        <v>446</v>
      </c>
      <c r="AA25" s="65">
        <v>609</v>
      </c>
      <c r="AB25" s="65">
        <v>663</v>
      </c>
      <c r="AC25" s="65">
        <v>723</v>
      </c>
      <c r="AD25" s="65">
        <v>946</v>
      </c>
      <c r="AE25" s="65">
        <v>752</v>
      </c>
      <c r="AF25" s="65">
        <v>665</v>
      </c>
      <c r="AG25" s="65">
        <v>842</v>
      </c>
      <c r="AH25" s="65">
        <v>955</v>
      </c>
      <c r="AI25" s="65">
        <v>864</v>
      </c>
      <c r="AJ25" s="65">
        <v>1192</v>
      </c>
      <c r="AK25" s="65">
        <v>1031</v>
      </c>
      <c r="AL25" s="65">
        <v>1031</v>
      </c>
      <c r="AM25" s="65">
        <v>1271</v>
      </c>
      <c r="AN25" s="65">
        <v>771</v>
      </c>
      <c r="AO25" s="65">
        <v>1000</v>
      </c>
      <c r="AP25" s="65">
        <v>1017</v>
      </c>
      <c r="AQ25" s="65">
        <v>1043</v>
      </c>
      <c r="AR25" s="65">
        <v>0</v>
      </c>
      <c r="AS25" s="65">
        <v>0</v>
      </c>
      <c r="AT25" s="65">
        <v>232</v>
      </c>
      <c r="AU25" s="65">
        <v>203.4</v>
      </c>
      <c r="AV25" s="65">
        <v>0</v>
      </c>
      <c r="AW25" s="65">
        <v>0</v>
      </c>
      <c r="AX25" s="65">
        <v>290</v>
      </c>
      <c r="AY25" s="65">
        <v>293</v>
      </c>
      <c r="AZ25" s="65">
        <v>0</v>
      </c>
      <c r="BA25" s="65">
        <v>0</v>
      </c>
      <c r="BB25" s="65">
        <v>496</v>
      </c>
      <c r="BC25" s="65">
        <v>496</v>
      </c>
      <c r="BD25" s="65">
        <v>0</v>
      </c>
      <c r="BE25" s="65">
        <v>0</v>
      </c>
      <c r="BF25" s="65">
        <v>282</v>
      </c>
      <c r="BG25" s="65">
        <v>291</v>
      </c>
      <c r="BH25" s="65">
        <v>411</v>
      </c>
      <c r="BI25" s="65">
        <v>449</v>
      </c>
      <c r="BJ25" s="65">
        <v>968</v>
      </c>
      <c r="BK25" s="65">
        <v>496</v>
      </c>
      <c r="BL25" s="65">
        <v>504</v>
      </c>
      <c r="BM25" s="65">
        <v>574</v>
      </c>
      <c r="BN25" s="65">
        <v>0</v>
      </c>
      <c r="BO25" s="65">
        <v>0</v>
      </c>
      <c r="BP25" s="65">
        <v>148.6</v>
      </c>
      <c r="BQ25" s="65">
        <v>343.7</v>
      </c>
      <c r="BR25" s="65">
        <v>300.8</v>
      </c>
      <c r="BS25" s="65">
        <v>501.6</v>
      </c>
      <c r="BT25" s="65">
        <v>0</v>
      </c>
      <c r="BU25" s="65">
        <v>0</v>
      </c>
      <c r="BV25" s="65">
        <v>1863.13</v>
      </c>
      <c r="BW25" s="65">
        <v>1774.41</v>
      </c>
      <c r="BX25" s="65">
        <v>0</v>
      </c>
      <c r="BY25" s="65">
        <v>0</v>
      </c>
      <c r="BZ25" s="65">
        <v>511</v>
      </c>
      <c r="CA25" s="65">
        <v>461</v>
      </c>
      <c r="CB25" s="65">
        <v>0</v>
      </c>
      <c r="CC25" s="65">
        <v>0</v>
      </c>
      <c r="CD25" s="65">
        <v>206</v>
      </c>
      <c r="CE25" s="65">
        <v>466</v>
      </c>
      <c r="CF25" s="66">
        <v>0</v>
      </c>
      <c r="CG25" s="47">
        <v>16</v>
      </c>
    </row>
    <row r="26" spans="1:85">
      <c r="A26" s="51">
        <f t="shared" si="3"/>
        <v>192.3</v>
      </c>
      <c r="B26" s="64">
        <v>1</v>
      </c>
      <c r="C26" s="65">
        <v>0</v>
      </c>
      <c r="D26" s="65">
        <v>177</v>
      </c>
      <c r="E26" s="65">
        <v>176</v>
      </c>
      <c r="F26" s="65">
        <v>201</v>
      </c>
      <c r="G26" s="65">
        <v>201</v>
      </c>
      <c r="H26" s="65">
        <v>218</v>
      </c>
      <c r="I26" s="65">
        <v>218</v>
      </c>
      <c r="J26" s="65">
        <v>228</v>
      </c>
      <c r="K26" s="65">
        <v>268</v>
      </c>
      <c r="L26" s="65">
        <v>268</v>
      </c>
      <c r="M26" s="65">
        <v>227</v>
      </c>
      <c r="N26" s="65">
        <v>308</v>
      </c>
      <c r="O26" s="65">
        <v>378</v>
      </c>
      <c r="P26" s="65">
        <v>376</v>
      </c>
      <c r="Q26" s="65">
        <v>376</v>
      </c>
      <c r="R26" s="65">
        <v>359</v>
      </c>
      <c r="S26" s="65">
        <v>338</v>
      </c>
      <c r="T26" s="65">
        <v>359</v>
      </c>
      <c r="U26" s="65">
        <v>334</v>
      </c>
      <c r="V26" s="65">
        <v>334</v>
      </c>
      <c r="W26" s="65">
        <v>299</v>
      </c>
      <c r="X26" s="65">
        <v>551</v>
      </c>
      <c r="Y26" s="65">
        <v>603</v>
      </c>
      <c r="Z26" s="65">
        <v>438</v>
      </c>
      <c r="AA26" s="65">
        <v>603</v>
      </c>
      <c r="AB26" s="65">
        <v>657</v>
      </c>
      <c r="AC26" s="65">
        <v>716</v>
      </c>
      <c r="AD26" s="65">
        <v>936</v>
      </c>
      <c r="AE26" s="65">
        <v>744</v>
      </c>
      <c r="AF26" s="65">
        <v>655</v>
      </c>
      <c r="AG26" s="65">
        <v>829</v>
      </c>
      <c r="AH26" s="65">
        <v>947</v>
      </c>
      <c r="AI26" s="65">
        <v>863</v>
      </c>
      <c r="AJ26" s="65">
        <v>1181</v>
      </c>
      <c r="AK26" s="65">
        <v>1021</v>
      </c>
      <c r="AL26" s="65">
        <v>1021</v>
      </c>
      <c r="AM26" s="65">
        <v>1265</v>
      </c>
      <c r="AN26" s="65">
        <v>761</v>
      </c>
      <c r="AO26" s="65">
        <v>994</v>
      </c>
      <c r="AP26" s="65">
        <v>1014</v>
      </c>
      <c r="AQ26" s="65">
        <v>1039</v>
      </c>
      <c r="AR26" s="65">
        <v>0</v>
      </c>
      <c r="AS26" s="65">
        <v>0</v>
      </c>
      <c r="AT26" s="65">
        <v>228.1</v>
      </c>
      <c r="AU26" s="65">
        <v>201.45</v>
      </c>
      <c r="AV26" s="65">
        <v>0</v>
      </c>
      <c r="AW26" s="65">
        <v>0</v>
      </c>
      <c r="AX26" s="65">
        <v>286</v>
      </c>
      <c r="AY26" s="65">
        <v>290</v>
      </c>
      <c r="AZ26" s="65">
        <v>0</v>
      </c>
      <c r="BA26" s="65">
        <v>0</v>
      </c>
      <c r="BB26" s="65">
        <v>492</v>
      </c>
      <c r="BC26" s="65">
        <v>492</v>
      </c>
      <c r="BD26" s="65">
        <v>0</v>
      </c>
      <c r="BE26" s="65">
        <v>0</v>
      </c>
      <c r="BF26" s="65">
        <v>267</v>
      </c>
      <c r="BG26" s="65">
        <v>291</v>
      </c>
      <c r="BH26" s="65">
        <v>408</v>
      </c>
      <c r="BI26" s="65">
        <v>444</v>
      </c>
      <c r="BJ26" s="65">
        <v>962</v>
      </c>
      <c r="BK26" s="65">
        <v>492</v>
      </c>
      <c r="BL26" s="65">
        <v>458</v>
      </c>
      <c r="BM26" s="65">
        <v>564</v>
      </c>
      <c r="BN26" s="65">
        <v>0</v>
      </c>
      <c r="BO26" s="65">
        <v>0</v>
      </c>
      <c r="BP26" s="65">
        <v>146.80000000000001</v>
      </c>
      <c r="BQ26" s="65">
        <v>343.4</v>
      </c>
      <c r="BR26" s="65">
        <v>297.60000000000002</v>
      </c>
      <c r="BS26" s="65">
        <v>491.9</v>
      </c>
      <c r="BT26" s="65">
        <v>0</v>
      </c>
      <c r="BU26" s="65">
        <v>0</v>
      </c>
      <c r="BV26" s="65">
        <v>1855.31</v>
      </c>
      <c r="BW26" s="65">
        <v>1766.96</v>
      </c>
      <c r="BX26" s="65">
        <v>0</v>
      </c>
      <c r="BY26" s="65">
        <v>0</v>
      </c>
      <c r="BZ26" s="65">
        <v>503</v>
      </c>
      <c r="CA26" s="65">
        <v>454</v>
      </c>
      <c r="CB26" s="65">
        <v>0</v>
      </c>
      <c r="CC26" s="65">
        <v>0</v>
      </c>
      <c r="CD26" s="65">
        <v>198</v>
      </c>
      <c r="CE26" s="65">
        <v>463</v>
      </c>
      <c r="CF26" s="66">
        <v>0</v>
      </c>
      <c r="CG26" s="47">
        <v>17</v>
      </c>
    </row>
    <row r="27" spans="1:85">
      <c r="A27" s="51">
        <f t="shared" si="3"/>
        <v>191.3</v>
      </c>
      <c r="B27" s="64">
        <v>1</v>
      </c>
      <c r="C27" s="65">
        <v>0</v>
      </c>
      <c r="D27" s="65">
        <v>171</v>
      </c>
      <c r="E27" s="65">
        <v>169</v>
      </c>
      <c r="F27" s="65">
        <v>195</v>
      </c>
      <c r="G27" s="65">
        <v>195</v>
      </c>
      <c r="H27" s="65">
        <v>212</v>
      </c>
      <c r="I27" s="65">
        <v>215</v>
      </c>
      <c r="J27" s="65">
        <v>226</v>
      </c>
      <c r="K27" s="65">
        <v>265</v>
      </c>
      <c r="L27" s="65">
        <v>265</v>
      </c>
      <c r="M27" s="65">
        <v>225</v>
      </c>
      <c r="N27" s="65">
        <v>306</v>
      </c>
      <c r="O27" s="65">
        <v>372</v>
      </c>
      <c r="P27" s="65">
        <v>372</v>
      </c>
      <c r="Q27" s="65">
        <v>372</v>
      </c>
      <c r="R27" s="65">
        <v>354</v>
      </c>
      <c r="S27" s="65">
        <v>333</v>
      </c>
      <c r="T27" s="65">
        <v>355</v>
      </c>
      <c r="U27" s="65">
        <v>328</v>
      </c>
      <c r="V27" s="65">
        <v>328</v>
      </c>
      <c r="W27" s="65">
        <v>294</v>
      </c>
      <c r="X27" s="65">
        <v>543</v>
      </c>
      <c r="Y27" s="65">
        <v>592</v>
      </c>
      <c r="Z27" s="65">
        <v>434</v>
      </c>
      <c r="AA27" s="65">
        <v>597</v>
      </c>
      <c r="AB27" s="65">
        <v>651</v>
      </c>
      <c r="AC27" s="65">
        <v>712</v>
      </c>
      <c r="AD27" s="65">
        <v>927</v>
      </c>
      <c r="AE27" s="65">
        <v>733</v>
      </c>
      <c r="AF27" s="65">
        <v>646</v>
      </c>
      <c r="AG27" s="65">
        <v>745</v>
      </c>
      <c r="AH27" s="65">
        <v>857</v>
      </c>
      <c r="AI27" s="65">
        <v>781</v>
      </c>
      <c r="AJ27" s="65">
        <v>1062</v>
      </c>
      <c r="AK27" s="65">
        <v>918</v>
      </c>
      <c r="AL27" s="65">
        <v>918</v>
      </c>
      <c r="AM27" s="65">
        <v>1147</v>
      </c>
      <c r="AN27" s="65">
        <v>689</v>
      </c>
      <c r="AO27" s="65">
        <v>897</v>
      </c>
      <c r="AP27" s="65">
        <v>920</v>
      </c>
      <c r="AQ27" s="65">
        <v>941</v>
      </c>
      <c r="AR27" s="65">
        <v>0</v>
      </c>
      <c r="AS27" s="65">
        <v>0</v>
      </c>
      <c r="AT27" s="65">
        <v>224.5</v>
      </c>
      <c r="AU27" s="65">
        <v>199.6</v>
      </c>
      <c r="AV27" s="65">
        <v>0</v>
      </c>
      <c r="AW27" s="65">
        <v>0</v>
      </c>
      <c r="AX27" s="65">
        <v>283</v>
      </c>
      <c r="AY27" s="65">
        <v>286</v>
      </c>
      <c r="AZ27" s="65">
        <v>0</v>
      </c>
      <c r="BA27" s="65">
        <v>0</v>
      </c>
      <c r="BB27" s="65">
        <v>487</v>
      </c>
      <c r="BC27" s="65">
        <v>487</v>
      </c>
      <c r="BD27" s="65">
        <v>0</v>
      </c>
      <c r="BE27" s="65">
        <v>0</v>
      </c>
      <c r="BF27" s="65">
        <v>248</v>
      </c>
      <c r="BG27" s="65">
        <v>282</v>
      </c>
      <c r="BH27" s="65">
        <v>404</v>
      </c>
      <c r="BI27" s="65">
        <v>438</v>
      </c>
      <c r="BJ27" s="65">
        <v>954</v>
      </c>
      <c r="BK27" s="65">
        <v>487</v>
      </c>
      <c r="BL27" s="65">
        <v>456</v>
      </c>
      <c r="BM27" s="65">
        <v>554</v>
      </c>
      <c r="BN27" s="65">
        <v>0</v>
      </c>
      <c r="BO27" s="65">
        <v>0</v>
      </c>
      <c r="BP27" s="65">
        <v>145.19999999999999</v>
      </c>
      <c r="BQ27" s="65">
        <v>341.6</v>
      </c>
      <c r="BR27" s="65">
        <v>292.8</v>
      </c>
      <c r="BS27" s="65">
        <v>483.05</v>
      </c>
      <c r="BT27" s="65">
        <v>0</v>
      </c>
      <c r="BU27" s="65">
        <v>0</v>
      </c>
      <c r="BV27" s="65">
        <v>1846.31</v>
      </c>
      <c r="BW27" s="65">
        <v>1758.39</v>
      </c>
      <c r="BX27" s="65">
        <v>0</v>
      </c>
      <c r="BY27" s="65">
        <v>0</v>
      </c>
      <c r="BZ27" s="65">
        <v>494</v>
      </c>
      <c r="CA27" s="65">
        <v>444</v>
      </c>
      <c r="CB27" s="65">
        <v>0</v>
      </c>
      <c r="CC27" s="65">
        <v>0</v>
      </c>
      <c r="CD27" s="65">
        <v>190</v>
      </c>
      <c r="CE27" s="65">
        <v>458</v>
      </c>
      <c r="CF27" s="66">
        <v>0</v>
      </c>
      <c r="CG27" s="47">
        <v>18</v>
      </c>
    </row>
    <row r="28" spans="1:85">
      <c r="A28" s="51">
        <f t="shared" si="3"/>
        <v>190.3</v>
      </c>
      <c r="B28" s="64">
        <v>1</v>
      </c>
      <c r="C28" s="65">
        <v>0</v>
      </c>
      <c r="D28" s="65">
        <v>158</v>
      </c>
      <c r="E28" s="65">
        <v>157</v>
      </c>
      <c r="F28" s="65">
        <v>179</v>
      </c>
      <c r="G28" s="65">
        <v>179</v>
      </c>
      <c r="H28" s="65">
        <v>198</v>
      </c>
      <c r="I28" s="65">
        <v>201</v>
      </c>
      <c r="J28" s="65">
        <v>212</v>
      </c>
      <c r="K28" s="65">
        <v>251</v>
      </c>
      <c r="L28" s="65">
        <v>251</v>
      </c>
      <c r="M28" s="65">
        <v>212</v>
      </c>
      <c r="N28" s="65">
        <v>289</v>
      </c>
      <c r="O28" s="65">
        <v>352</v>
      </c>
      <c r="P28" s="65">
        <v>351</v>
      </c>
      <c r="Q28" s="65">
        <v>351</v>
      </c>
      <c r="R28" s="65">
        <v>332</v>
      </c>
      <c r="S28" s="65">
        <v>313</v>
      </c>
      <c r="T28" s="65">
        <v>333</v>
      </c>
      <c r="U28" s="65">
        <v>308</v>
      </c>
      <c r="V28" s="65">
        <v>308</v>
      </c>
      <c r="W28" s="65">
        <v>275</v>
      </c>
      <c r="X28" s="65">
        <v>505</v>
      </c>
      <c r="Y28" s="65">
        <v>555</v>
      </c>
      <c r="Z28" s="65">
        <v>408</v>
      </c>
      <c r="AA28" s="65">
        <v>561</v>
      </c>
      <c r="AB28" s="65">
        <v>615</v>
      </c>
      <c r="AC28" s="65">
        <v>673</v>
      </c>
      <c r="AD28" s="65">
        <v>876</v>
      </c>
      <c r="AE28" s="65">
        <v>630</v>
      </c>
      <c r="AF28" s="65">
        <v>549</v>
      </c>
      <c r="AG28" s="65">
        <v>704</v>
      </c>
      <c r="AH28" s="65">
        <v>808</v>
      </c>
      <c r="AI28" s="65">
        <v>740</v>
      </c>
      <c r="AJ28" s="65">
        <v>1000</v>
      </c>
      <c r="AK28" s="65">
        <v>864</v>
      </c>
      <c r="AL28" s="65">
        <v>864</v>
      </c>
      <c r="AM28" s="65">
        <v>1083</v>
      </c>
      <c r="AN28" s="65">
        <v>654</v>
      </c>
      <c r="AO28" s="65">
        <v>848</v>
      </c>
      <c r="AP28" s="65">
        <v>874</v>
      </c>
      <c r="AQ28" s="65">
        <v>891</v>
      </c>
      <c r="AR28" s="65">
        <v>0</v>
      </c>
      <c r="AS28" s="65">
        <v>0</v>
      </c>
      <c r="AT28" s="65">
        <v>221.9</v>
      </c>
      <c r="AU28" s="65">
        <v>197</v>
      </c>
      <c r="AV28" s="65">
        <v>0</v>
      </c>
      <c r="AW28" s="65">
        <v>0</v>
      </c>
      <c r="AX28" s="65">
        <v>280</v>
      </c>
      <c r="AY28" s="65">
        <v>283</v>
      </c>
      <c r="AZ28" s="65">
        <v>0</v>
      </c>
      <c r="BA28" s="65">
        <v>0</v>
      </c>
      <c r="BB28" s="65">
        <v>461</v>
      </c>
      <c r="BC28" s="65">
        <v>461</v>
      </c>
      <c r="BD28" s="65">
        <v>0</v>
      </c>
      <c r="BE28" s="65">
        <v>0</v>
      </c>
      <c r="BF28" s="65">
        <v>165</v>
      </c>
      <c r="BG28" s="65">
        <v>267</v>
      </c>
      <c r="BH28" s="65">
        <v>398</v>
      </c>
      <c r="BI28" s="65">
        <v>430</v>
      </c>
      <c r="BJ28" s="65">
        <v>944</v>
      </c>
      <c r="BK28" s="65">
        <v>461</v>
      </c>
      <c r="BL28" s="65">
        <v>430</v>
      </c>
      <c r="BM28" s="65">
        <v>517</v>
      </c>
      <c r="BN28" s="65">
        <v>0</v>
      </c>
      <c r="BO28" s="65">
        <v>0</v>
      </c>
      <c r="BP28" s="65">
        <v>141.6</v>
      </c>
      <c r="BQ28" s="65">
        <v>339.5</v>
      </c>
      <c r="BR28" s="65">
        <v>288.3</v>
      </c>
      <c r="BS28" s="65">
        <v>475.8</v>
      </c>
      <c r="BT28" s="65">
        <v>0</v>
      </c>
      <c r="BU28" s="65">
        <v>0</v>
      </c>
      <c r="BV28" s="65">
        <v>1835.03</v>
      </c>
      <c r="BW28" s="65">
        <v>1747.65</v>
      </c>
      <c r="BX28" s="65">
        <v>0</v>
      </c>
      <c r="BY28" s="65">
        <v>0</v>
      </c>
      <c r="BZ28" s="65">
        <v>485</v>
      </c>
      <c r="CA28" s="65">
        <v>436</v>
      </c>
      <c r="CB28" s="65">
        <v>0</v>
      </c>
      <c r="CC28" s="65">
        <v>0</v>
      </c>
      <c r="CD28" s="65">
        <v>182</v>
      </c>
      <c r="CE28" s="65">
        <v>451</v>
      </c>
      <c r="CF28" s="66">
        <v>0</v>
      </c>
      <c r="CG28" s="47">
        <v>19</v>
      </c>
    </row>
    <row r="29" spans="1:85">
      <c r="A29" s="51">
        <f t="shared" si="3"/>
        <v>189.3</v>
      </c>
      <c r="B29" s="64">
        <v>1</v>
      </c>
      <c r="C29" s="65">
        <v>0</v>
      </c>
      <c r="D29" s="65">
        <v>150</v>
      </c>
      <c r="E29" s="65">
        <v>150</v>
      </c>
      <c r="F29" s="65">
        <v>160</v>
      </c>
      <c r="G29" s="65">
        <v>173</v>
      </c>
      <c r="H29" s="65">
        <v>195</v>
      </c>
      <c r="I29" s="65">
        <v>199</v>
      </c>
      <c r="J29" s="65">
        <v>211</v>
      </c>
      <c r="K29" s="65">
        <v>250</v>
      </c>
      <c r="L29" s="65">
        <v>250</v>
      </c>
      <c r="M29" s="65">
        <v>211</v>
      </c>
      <c r="N29" s="65">
        <v>286</v>
      </c>
      <c r="O29" s="65">
        <v>347</v>
      </c>
      <c r="P29" s="65">
        <v>346</v>
      </c>
      <c r="Q29" s="65">
        <v>346</v>
      </c>
      <c r="R29" s="65">
        <v>329</v>
      </c>
      <c r="S29" s="65">
        <v>310</v>
      </c>
      <c r="T29" s="65">
        <v>331</v>
      </c>
      <c r="U29" s="65">
        <v>304</v>
      </c>
      <c r="V29" s="65">
        <v>304</v>
      </c>
      <c r="W29" s="65">
        <v>271</v>
      </c>
      <c r="X29" s="65">
        <v>488</v>
      </c>
      <c r="Y29" s="65">
        <v>534</v>
      </c>
      <c r="Z29" s="65">
        <v>404</v>
      </c>
      <c r="AA29" s="65">
        <v>556</v>
      </c>
      <c r="AB29" s="65">
        <v>612</v>
      </c>
      <c r="AC29" s="65">
        <v>670</v>
      </c>
      <c r="AD29" s="65">
        <v>873</v>
      </c>
      <c r="AE29" s="65">
        <v>625</v>
      </c>
      <c r="AF29" s="65">
        <v>543</v>
      </c>
      <c r="AG29" s="65">
        <v>698</v>
      </c>
      <c r="AH29" s="65">
        <v>807</v>
      </c>
      <c r="AI29" s="65">
        <v>733</v>
      </c>
      <c r="AJ29" s="65">
        <v>990</v>
      </c>
      <c r="AK29" s="65">
        <v>858</v>
      </c>
      <c r="AL29" s="65">
        <v>858</v>
      </c>
      <c r="AM29" s="65">
        <v>1074</v>
      </c>
      <c r="AN29" s="65">
        <v>651</v>
      </c>
      <c r="AO29" s="65">
        <v>845</v>
      </c>
      <c r="AP29" s="65">
        <v>874</v>
      </c>
      <c r="AQ29" s="65">
        <v>888</v>
      </c>
      <c r="AR29" s="65">
        <v>0</v>
      </c>
      <c r="AS29" s="65">
        <v>0</v>
      </c>
      <c r="AT29" s="65">
        <v>219.1</v>
      </c>
      <c r="AU29" s="65">
        <v>192.89999999999998</v>
      </c>
      <c r="AV29" s="65">
        <v>0</v>
      </c>
      <c r="AW29" s="65">
        <v>0</v>
      </c>
      <c r="AX29" s="65">
        <v>229.15</v>
      </c>
      <c r="AY29" s="65">
        <v>231.8</v>
      </c>
      <c r="AZ29" s="65">
        <v>0</v>
      </c>
      <c r="BA29" s="65">
        <v>0</v>
      </c>
      <c r="BB29" s="65">
        <v>455</v>
      </c>
      <c r="BC29" s="65">
        <v>455</v>
      </c>
      <c r="BD29" s="65">
        <v>0</v>
      </c>
      <c r="BE29" s="65">
        <v>0</v>
      </c>
      <c r="BF29" s="65">
        <v>104</v>
      </c>
      <c r="BG29" s="65">
        <v>225.2</v>
      </c>
      <c r="BH29" s="65">
        <v>356.63333333333338</v>
      </c>
      <c r="BI29" s="65">
        <v>384.40000000000003</v>
      </c>
      <c r="BJ29" s="65">
        <v>850.75</v>
      </c>
      <c r="BK29" s="65">
        <v>455</v>
      </c>
      <c r="BL29" s="65">
        <v>428</v>
      </c>
      <c r="BM29" s="65">
        <v>505</v>
      </c>
      <c r="BN29" s="65">
        <v>0</v>
      </c>
      <c r="BO29" s="65">
        <v>0</v>
      </c>
      <c r="BP29" s="65">
        <v>137.30000000000001</v>
      </c>
      <c r="BQ29" s="65">
        <v>337.4</v>
      </c>
      <c r="BR29" s="65">
        <v>284.3</v>
      </c>
      <c r="BS29" s="65">
        <v>468.3</v>
      </c>
      <c r="BT29" s="65">
        <v>0</v>
      </c>
      <c r="BU29" s="65">
        <v>0</v>
      </c>
      <c r="BV29" s="65">
        <v>1822.07</v>
      </c>
      <c r="BW29" s="65">
        <v>1735.3</v>
      </c>
      <c r="BX29" s="65">
        <v>0</v>
      </c>
      <c r="BY29" s="65">
        <v>0</v>
      </c>
      <c r="BZ29" s="65">
        <v>474</v>
      </c>
      <c r="CA29" s="65">
        <v>427</v>
      </c>
      <c r="CB29" s="65">
        <v>0</v>
      </c>
      <c r="CC29" s="65">
        <v>0</v>
      </c>
      <c r="CD29" s="65">
        <v>175</v>
      </c>
      <c r="CE29" s="65">
        <v>443</v>
      </c>
      <c r="CF29" s="66">
        <v>0</v>
      </c>
      <c r="CG29" s="47">
        <v>20</v>
      </c>
    </row>
    <row r="30" spans="1:85">
      <c r="A30" s="51">
        <f t="shared" si="3"/>
        <v>188.3</v>
      </c>
      <c r="B30" s="64">
        <v>1</v>
      </c>
      <c r="C30" s="65">
        <v>0</v>
      </c>
      <c r="D30" s="65">
        <v>128</v>
      </c>
      <c r="E30" s="65">
        <v>144</v>
      </c>
      <c r="F30" s="65">
        <v>159</v>
      </c>
      <c r="G30" s="65">
        <v>165</v>
      </c>
      <c r="H30" s="65">
        <v>189</v>
      </c>
      <c r="I30" s="65">
        <v>196</v>
      </c>
      <c r="J30" s="65">
        <v>207</v>
      </c>
      <c r="K30" s="65">
        <v>247</v>
      </c>
      <c r="L30" s="65">
        <v>247</v>
      </c>
      <c r="M30" s="65">
        <v>208</v>
      </c>
      <c r="N30" s="65">
        <v>282</v>
      </c>
      <c r="O30" s="65">
        <v>342</v>
      </c>
      <c r="P30" s="65">
        <v>341</v>
      </c>
      <c r="Q30" s="65">
        <v>341</v>
      </c>
      <c r="R30" s="65">
        <v>324</v>
      </c>
      <c r="S30" s="65">
        <v>304</v>
      </c>
      <c r="T30" s="65">
        <v>325</v>
      </c>
      <c r="U30" s="65">
        <v>296</v>
      </c>
      <c r="V30" s="65">
        <v>296</v>
      </c>
      <c r="W30" s="65">
        <v>263</v>
      </c>
      <c r="X30" s="65">
        <v>466</v>
      </c>
      <c r="Y30" s="65">
        <v>509</v>
      </c>
      <c r="Z30" s="65">
        <v>397</v>
      </c>
      <c r="AA30" s="65">
        <v>551</v>
      </c>
      <c r="AB30" s="65">
        <v>604</v>
      </c>
      <c r="AC30" s="65">
        <v>662</v>
      </c>
      <c r="AD30" s="65">
        <v>864</v>
      </c>
      <c r="AE30" s="65">
        <v>618</v>
      </c>
      <c r="AF30" s="65">
        <v>532</v>
      </c>
      <c r="AG30" s="65">
        <v>686</v>
      </c>
      <c r="AH30" s="65">
        <v>797</v>
      </c>
      <c r="AI30" s="65">
        <v>728</v>
      </c>
      <c r="AJ30" s="65">
        <v>980</v>
      </c>
      <c r="AK30" s="65">
        <v>845</v>
      </c>
      <c r="AL30" s="65">
        <v>845</v>
      </c>
      <c r="AM30" s="65">
        <v>1066</v>
      </c>
      <c r="AN30" s="65">
        <v>647</v>
      </c>
      <c r="AO30" s="65">
        <v>839</v>
      </c>
      <c r="AP30" s="65">
        <v>869</v>
      </c>
      <c r="AQ30" s="65">
        <v>882</v>
      </c>
      <c r="AR30" s="65">
        <v>0</v>
      </c>
      <c r="AS30" s="65">
        <v>0</v>
      </c>
      <c r="AT30" s="65">
        <v>215.1</v>
      </c>
      <c r="AU30" s="65">
        <v>187.5</v>
      </c>
      <c r="AV30" s="65">
        <v>0</v>
      </c>
      <c r="AW30" s="65">
        <v>0</v>
      </c>
      <c r="AX30" s="65">
        <v>225.64999999999998</v>
      </c>
      <c r="AY30" s="65">
        <v>229.15</v>
      </c>
      <c r="AZ30" s="65">
        <v>0</v>
      </c>
      <c r="BA30" s="65">
        <v>0</v>
      </c>
      <c r="BB30" s="65">
        <v>447</v>
      </c>
      <c r="BC30" s="65">
        <v>447</v>
      </c>
      <c r="BD30" s="65">
        <v>0</v>
      </c>
      <c r="BE30" s="65">
        <v>0</v>
      </c>
      <c r="BF30" s="65">
        <v>89.4</v>
      </c>
      <c r="BG30" s="65">
        <v>150.19999999999999</v>
      </c>
      <c r="BH30" s="65">
        <v>349.83333333333331</v>
      </c>
      <c r="BI30" s="65">
        <v>376.3</v>
      </c>
      <c r="BJ30" s="65">
        <v>826.5</v>
      </c>
      <c r="BK30" s="65">
        <v>447</v>
      </c>
      <c r="BL30" s="65">
        <v>427</v>
      </c>
      <c r="BM30" s="65">
        <v>499</v>
      </c>
      <c r="BN30" s="65">
        <v>0</v>
      </c>
      <c r="BO30" s="65">
        <v>0</v>
      </c>
      <c r="BP30" s="65">
        <v>133.80000000000001</v>
      </c>
      <c r="BQ30" s="65">
        <v>335.3</v>
      </c>
      <c r="BR30" s="65">
        <v>280.39999999999998</v>
      </c>
      <c r="BS30" s="65">
        <v>459.65</v>
      </c>
      <c r="BT30" s="65">
        <v>0</v>
      </c>
      <c r="BU30" s="65">
        <v>0</v>
      </c>
      <c r="BV30" s="65">
        <v>1811.05</v>
      </c>
      <c r="BW30" s="65">
        <v>1724.81</v>
      </c>
      <c r="BX30" s="65">
        <v>0</v>
      </c>
      <c r="BY30" s="65">
        <v>0</v>
      </c>
      <c r="BZ30" s="65">
        <v>420.3</v>
      </c>
      <c r="CA30" s="65">
        <v>380</v>
      </c>
      <c r="CB30" s="65">
        <v>0</v>
      </c>
      <c r="CC30" s="65">
        <v>0</v>
      </c>
      <c r="CD30" s="65">
        <v>152.30000000000001</v>
      </c>
      <c r="CE30" s="65">
        <v>395.5</v>
      </c>
      <c r="CF30" s="66">
        <v>0</v>
      </c>
      <c r="CG30" s="47">
        <v>21</v>
      </c>
    </row>
    <row r="31" spans="1:85">
      <c r="A31" s="51">
        <f t="shared" si="3"/>
        <v>187.3</v>
      </c>
      <c r="B31" s="64">
        <v>1</v>
      </c>
      <c r="C31" s="65">
        <v>0</v>
      </c>
      <c r="D31" s="65">
        <v>107</v>
      </c>
      <c r="E31" s="65">
        <v>138</v>
      </c>
      <c r="F31" s="65">
        <v>158</v>
      </c>
      <c r="G31" s="65">
        <v>160</v>
      </c>
      <c r="H31" s="65">
        <v>185</v>
      </c>
      <c r="I31" s="65">
        <v>192</v>
      </c>
      <c r="J31" s="65">
        <v>204</v>
      </c>
      <c r="K31" s="65">
        <v>241</v>
      </c>
      <c r="L31" s="65">
        <v>241</v>
      </c>
      <c r="M31" s="65">
        <v>205</v>
      </c>
      <c r="N31" s="65">
        <v>279</v>
      </c>
      <c r="O31" s="65">
        <v>336</v>
      </c>
      <c r="P31" s="65">
        <v>335</v>
      </c>
      <c r="Q31" s="65">
        <v>335</v>
      </c>
      <c r="R31" s="65">
        <v>320</v>
      </c>
      <c r="S31" s="65">
        <v>300</v>
      </c>
      <c r="T31" s="65">
        <v>319</v>
      </c>
      <c r="U31" s="65">
        <v>292</v>
      </c>
      <c r="V31" s="65">
        <v>292</v>
      </c>
      <c r="W31" s="65">
        <v>258</v>
      </c>
      <c r="X31" s="65">
        <v>446</v>
      </c>
      <c r="Y31" s="65">
        <v>487</v>
      </c>
      <c r="Z31" s="65">
        <v>390</v>
      </c>
      <c r="AA31" s="65">
        <v>546</v>
      </c>
      <c r="AB31" s="65">
        <v>597</v>
      </c>
      <c r="AC31" s="65">
        <v>656</v>
      </c>
      <c r="AD31" s="65">
        <v>855</v>
      </c>
      <c r="AE31" s="65">
        <v>612</v>
      </c>
      <c r="AF31" s="65">
        <v>525</v>
      </c>
      <c r="AG31" s="65">
        <v>677</v>
      </c>
      <c r="AH31" s="65">
        <v>789</v>
      </c>
      <c r="AI31" s="65">
        <v>716</v>
      </c>
      <c r="AJ31" s="65">
        <v>969</v>
      </c>
      <c r="AK31" s="65">
        <v>834</v>
      </c>
      <c r="AL31" s="65">
        <v>834</v>
      </c>
      <c r="AM31" s="65">
        <v>1059</v>
      </c>
      <c r="AN31" s="65">
        <v>646</v>
      </c>
      <c r="AO31" s="65">
        <v>832</v>
      </c>
      <c r="AP31" s="65">
        <v>866</v>
      </c>
      <c r="AQ31" s="65">
        <v>878</v>
      </c>
      <c r="AR31" s="65">
        <v>0</v>
      </c>
      <c r="AS31" s="65">
        <v>0</v>
      </c>
      <c r="AT31" s="65">
        <v>210.3</v>
      </c>
      <c r="AU31" s="65">
        <v>182.10000000000002</v>
      </c>
      <c r="AV31" s="65">
        <v>0</v>
      </c>
      <c r="AW31" s="65">
        <v>0</v>
      </c>
      <c r="AX31" s="65">
        <v>221.75</v>
      </c>
      <c r="AY31" s="65">
        <v>225.64999999999998</v>
      </c>
      <c r="AZ31" s="65">
        <v>0</v>
      </c>
      <c r="BA31" s="65">
        <v>0</v>
      </c>
      <c r="BB31" s="65">
        <v>438</v>
      </c>
      <c r="BC31" s="65">
        <v>438</v>
      </c>
      <c r="BD31" s="65">
        <v>0</v>
      </c>
      <c r="BE31" s="65">
        <v>0</v>
      </c>
      <c r="BF31" s="65">
        <v>82.75</v>
      </c>
      <c r="BG31" s="65">
        <v>104</v>
      </c>
      <c r="BH31" s="65">
        <v>343.7</v>
      </c>
      <c r="BI31" s="65">
        <v>369</v>
      </c>
      <c r="BJ31" s="65">
        <v>806.75</v>
      </c>
      <c r="BK31" s="65">
        <v>438</v>
      </c>
      <c r="BL31" s="65">
        <v>426</v>
      </c>
      <c r="BM31" s="65">
        <v>490</v>
      </c>
      <c r="BN31" s="65">
        <v>0</v>
      </c>
      <c r="BO31" s="65">
        <v>0</v>
      </c>
      <c r="BP31" s="65">
        <v>129.69999999999999</v>
      </c>
      <c r="BQ31" s="65">
        <v>333.2</v>
      </c>
      <c r="BR31" s="65">
        <v>276.5</v>
      </c>
      <c r="BS31" s="65">
        <v>450.35</v>
      </c>
      <c r="BT31" s="65">
        <v>0</v>
      </c>
      <c r="BU31" s="65">
        <v>0</v>
      </c>
      <c r="BV31" s="65">
        <v>1724.33</v>
      </c>
      <c r="BW31" s="65">
        <v>1642.22</v>
      </c>
      <c r="BX31" s="65">
        <v>0</v>
      </c>
      <c r="BY31" s="65">
        <v>0</v>
      </c>
      <c r="BZ31" s="65">
        <v>410.63333333333338</v>
      </c>
      <c r="CA31" s="65">
        <v>371</v>
      </c>
      <c r="CB31" s="65">
        <v>0</v>
      </c>
      <c r="CC31" s="65">
        <v>0</v>
      </c>
      <c r="CD31" s="65">
        <v>147</v>
      </c>
      <c r="CE31" s="65">
        <v>389.4</v>
      </c>
      <c r="CF31" s="66">
        <v>0</v>
      </c>
      <c r="CG31" s="47">
        <v>22</v>
      </c>
    </row>
    <row r="32" spans="1:85">
      <c r="A32" s="51">
        <f t="shared" si="3"/>
        <v>186.3</v>
      </c>
      <c r="B32" s="64">
        <v>1</v>
      </c>
      <c r="C32" s="65">
        <v>0</v>
      </c>
      <c r="D32" s="65">
        <v>94</v>
      </c>
      <c r="E32" s="65">
        <v>132</v>
      </c>
      <c r="F32" s="65">
        <v>156</v>
      </c>
      <c r="G32" s="65">
        <v>154</v>
      </c>
      <c r="H32" s="65">
        <v>180</v>
      </c>
      <c r="I32" s="65">
        <v>188</v>
      </c>
      <c r="J32" s="65">
        <v>200</v>
      </c>
      <c r="K32" s="65">
        <v>237</v>
      </c>
      <c r="L32" s="65">
        <v>237</v>
      </c>
      <c r="M32" s="65">
        <v>201</v>
      </c>
      <c r="N32" s="65">
        <v>276</v>
      </c>
      <c r="O32" s="65">
        <v>332</v>
      </c>
      <c r="P32" s="65">
        <v>332</v>
      </c>
      <c r="Q32" s="65">
        <v>332</v>
      </c>
      <c r="R32" s="65">
        <v>314</v>
      </c>
      <c r="S32" s="65">
        <v>294</v>
      </c>
      <c r="T32" s="65">
        <v>314</v>
      </c>
      <c r="U32" s="65">
        <v>286</v>
      </c>
      <c r="V32" s="65">
        <v>286</v>
      </c>
      <c r="W32" s="65">
        <v>252</v>
      </c>
      <c r="X32" s="65">
        <v>426</v>
      </c>
      <c r="Y32" s="65">
        <v>463</v>
      </c>
      <c r="Z32" s="65">
        <v>384</v>
      </c>
      <c r="AA32" s="65">
        <v>540</v>
      </c>
      <c r="AB32" s="65">
        <v>591</v>
      </c>
      <c r="AC32" s="65">
        <v>649</v>
      </c>
      <c r="AD32" s="65">
        <v>849</v>
      </c>
      <c r="AE32" s="65">
        <v>605</v>
      </c>
      <c r="AF32" s="65">
        <v>519</v>
      </c>
      <c r="AG32" s="65">
        <v>669</v>
      </c>
      <c r="AH32" s="65">
        <v>784</v>
      </c>
      <c r="AI32" s="65">
        <v>708</v>
      </c>
      <c r="AJ32" s="65">
        <v>960</v>
      </c>
      <c r="AK32" s="65">
        <v>826</v>
      </c>
      <c r="AL32" s="65">
        <v>826</v>
      </c>
      <c r="AM32" s="65">
        <v>1054</v>
      </c>
      <c r="AN32" s="65">
        <v>644</v>
      </c>
      <c r="AO32" s="65">
        <v>827</v>
      </c>
      <c r="AP32" s="65">
        <v>864</v>
      </c>
      <c r="AQ32" s="65">
        <v>874</v>
      </c>
      <c r="AR32" s="65">
        <v>0</v>
      </c>
      <c r="AS32" s="65">
        <v>0</v>
      </c>
      <c r="AT32" s="65">
        <v>205.3</v>
      </c>
      <c r="AU32" s="65">
        <v>176.95</v>
      </c>
      <c r="AV32" s="65">
        <v>0</v>
      </c>
      <c r="AW32" s="65">
        <v>0</v>
      </c>
      <c r="AX32" s="65">
        <v>216.95</v>
      </c>
      <c r="AY32" s="65">
        <v>221.75</v>
      </c>
      <c r="AZ32" s="65">
        <v>0</v>
      </c>
      <c r="BA32" s="65">
        <v>0</v>
      </c>
      <c r="BB32" s="65">
        <v>428</v>
      </c>
      <c r="BC32" s="65">
        <v>428</v>
      </c>
      <c r="BD32" s="65">
        <v>0</v>
      </c>
      <c r="BE32" s="65">
        <v>0</v>
      </c>
      <c r="BF32" s="65">
        <v>76.45</v>
      </c>
      <c r="BG32" s="65">
        <v>89.4</v>
      </c>
      <c r="BH32" s="65">
        <v>336.66666666666669</v>
      </c>
      <c r="BI32" s="65">
        <v>360.9666666666667</v>
      </c>
      <c r="BJ32" s="65">
        <v>792.75</v>
      </c>
      <c r="BK32" s="65">
        <v>428</v>
      </c>
      <c r="BL32" s="65">
        <v>424</v>
      </c>
      <c r="BM32" s="65">
        <v>482</v>
      </c>
      <c r="BN32" s="65">
        <v>0</v>
      </c>
      <c r="BO32" s="65">
        <v>0</v>
      </c>
      <c r="BP32" s="65">
        <v>125</v>
      </c>
      <c r="BQ32" s="65">
        <v>328</v>
      </c>
      <c r="BR32" s="65">
        <v>272.5</v>
      </c>
      <c r="BS32" s="65">
        <v>440.20000000000005</v>
      </c>
      <c r="BT32" s="65">
        <v>0</v>
      </c>
      <c r="BU32" s="65">
        <v>0</v>
      </c>
      <c r="BV32" s="65">
        <v>1623.52</v>
      </c>
      <c r="BW32" s="65">
        <v>1546.21</v>
      </c>
      <c r="BX32" s="65">
        <v>0</v>
      </c>
      <c r="BY32" s="65">
        <v>0</v>
      </c>
      <c r="BZ32" s="65">
        <v>400.70000000000005</v>
      </c>
      <c r="CA32" s="65">
        <v>364</v>
      </c>
      <c r="CB32" s="65">
        <v>0</v>
      </c>
      <c r="CC32" s="65">
        <v>0</v>
      </c>
      <c r="CD32" s="65">
        <v>141.80000000000001</v>
      </c>
      <c r="CE32" s="65">
        <v>383.55</v>
      </c>
      <c r="CF32" s="66">
        <v>0</v>
      </c>
      <c r="CG32" s="47">
        <v>23</v>
      </c>
    </row>
    <row r="33" spans="1:85">
      <c r="A33" s="51">
        <f t="shared" si="3"/>
        <v>185.3</v>
      </c>
      <c r="B33" s="64">
        <v>1</v>
      </c>
      <c r="C33" s="65">
        <v>0</v>
      </c>
      <c r="D33" s="65">
        <v>80</v>
      </c>
      <c r="E33" s="65">
        <v>116</v>
      </c>
      <c r="F33" s="65">
        <v>146</v>
      </c>
      <c r="G33" s="65">
        <v>141</v>
      </c>
      <c r="H33" s="65">
        <v>168</v>
      </c>
      <c r="I33" s="65">
        <v>176</v>
      </c>
      <c r="J33" s="65">
        <v>185</v>
      </c>
      <c r="K33" s="65">
        <v>219</v>
      </c>
      <c r="L33" s="65">
        <v>219</v>
      </c>
      <c r="M33" s="65">
        <v>189</v>
      </c>
      <c r="N33" s="65">
        <v>260</v>
      </c>
      <c r="O33" s="65">
        <v>313</v>
      </c>
      <c r="P33" s="65">
        <v>312</v>
      </c>
      <c r="Q33" s="65">
        <v>312</v>
      </c>
      <c r="R33" s="65">
        <v>296</v>
      </c>
      <c r="S33" s="65">
        <v>276</v>
      </c>
      <c r="T33" s="65">
        <v>294</v>
      </c>
      <c r="U33" s="65">
        <v>268</v>
      </c>
      <c r="V33" s="65">
        <v>268</v>
      </c>
      <c r="W33" s="65">
        <v>238</v>
      </c>
      <c r="X33" s="65">
        <v>388</v>
      </c>
      <c r="Y33" s="65">
        <v>419</v>
      </c>
      <c r="Z33" s="65">
        <v>358</v>
      </c>
      <c r="AA33" s="65">
        <v>512</v>
      </c>
      <c r="AB33" s="65">
        <v>558</v>
      </c>
      <c r="AC33" s="65">
        <v>613</v>
      </c>
      <c r="AD33" s="65">
        <v>804</v>
      </c>
      <c r="AE33" s="65">
        <v>567</v>
      </c>
      <c r="AF33" s="65">
        <v>490</v>
      </c>
      <c r="AG33" s="65">
        <v>630</v>
      </c>
      <c r="AH33" s="65">
        <v>756</v>
      </c>
      <c r="AI33" s="65">
        <v>676</v>
      </c>
      <c r="AJ33" s="65">
        <v>924</v>
      </c>
      <c r="AK33" s="65">
        <v>783</v>
      </c>
      <c r="AL33" s="65">
        <v>783</v>
      </c>
      <c r="AM33" s="65">
        <v>997</v>
      </c>
      <c r="AN33" s="65">
        <v>637</v>
      </c>
      <c r="AO33" s="65">
        <v>783</v>
      </c>
      <c r="AP33" s="65">
        <v>861</v>
      </c>
      <c r="AQ33" s="65">
        <v>857</v>
      </c>
      <c r="AR33" s="65">
        <v>0</v>
      </c>
      <c r="AS33" s="65">
        <v>0</v>
      </c>
      <c r="AT33" s="65">
        <v>200.3</v>
      </c>
      <c r="AU33" s="65">
        <v>172.05</v>
      </c>
      <c r="AV33" s="65">
        <v>0</v>
      </c>
      <c r="AW33" s="65">
        <v>0</v>
      </c>
      <c r="AX33" s="65">
        <v>211.9</v>
      </c>
      <c r="AY33" s="65">
        <v>216.95</v>
      </c>
      <c r="AZ33" s="65">
        <v>0</v>
      </c>
      <c r="BA33" s="65">
        <v>0</v>
      </c>
      <c r="BB33" s="65">
        <v>403</v>
      </c>
      <c r="BC33" s="65">
        <v>403</v>
      </c>
      <c r="BD33" s="65">
        <v>0</v>
      </c>
      <c r="BE33" s="65">
        <v>0</v>
      </c>
      <c r="BF33" s="65">
        <v>56.2</v>
      </c>
      <c r="BG33" s="65">
        <v>82.75</v>
      </c>
      <c r="BH33" s="65">
        <v>329.13333333333333</v>
      </c>
      <c r="BI33" s="65">
        <v>352.0333333333333</v>
      </c>
      <c r="BJ33" s="65">
        <v>778.2</v>
      </c>
      <c r="BK33" s="65">
        <v>403</v>
      </c>
      <c r="BL33" s="65">
        <v>401</v>
      </c>
      <c r="BM33" s="65">
        <v>453</v>
      </c>
      <c r="BN33" s="65">
        <v>0</v>
      </c>
      <c r="BO33" s="65">
        <v>0</v>
      </c>
      <c r="BP33" s="65">
        <v>120.7</v>
      </c>
      <c r="BQ33" s="65">
        <v>321.3</v>
      </c>
      <c r="BR33" s="65">
        <v>269.2</v>
      </c>
      <c r="BS33" s="65">
        <v>431.25</v>
      </c>
      <c r="BT33" s="65">
        <v>0</v>
      </c>
      <c r="BU33" s="65">
        <v>0</v>
      </c>
      <c r="BV33" s="65">
        <v>1533.76</v>
      </c>
      <c r="BW33" s="65">
        <v>1460.72</v>
      </c>
      <c r="BX33" s="65">
        <v>0</v>
      </c>
      <c r="BY33" s="65">
        <v>0</v>
      </c>
      <c r="BZ33" s="65">
        <v>389.56666666666661</v>
      </c>
      <c r="CA33" s="65">
        <v>355</v>
      </c>
      <c r="CB33" s="65">
        <v>0</v>
      </c>
      <c r="CC33" s="65">
        <v>0</v>
      </c>
      <c r="CD33" s="65">
        <v>136.30000000000001</v>
      </c>
      <c r="CE33" s="65">
        <v>377.85</v>
      </c>
      <c r="CF33" s="66">
        <v>0</v>
      </c>
      <c r="CG33" s="47">
        <v>24</v>
      </c>
    </row>
    <row r="34" spans="1:85">
      <c r="A34" s="51">
        <f t="shared" si="3"/>
        <v>184.3</v>
      </c>
      <c r="B34" s="64">
        <v>1</v>
      </c>
      <c r="C34" s="65">
        <v>0</v>
      </c>
      <c r="D34" s="65">
        <v>70</v>
      </c>
      <c r="E34" s="65">
        <v>105</v>
      </c>
      <c r="F34" s="65">
        <v>143</v>
      </c>
      <c r="G34" s="65">
        <v>134</v>
      </c>
      <c r="H34" s="65">
        <v>162</v>
      </c>
      <c r="I34" s="65">
        <v>171</v>
      </c>
      <c r="J34" s="65">
        <v>179</v>
      </c>
      <c r="K34" s="65">
        <v>212</v>
      </c>
      <c r="L34" s="65">
        <v>212</v>
      </c>
      <c r="M34" s="65">
        <v>184</v>
      </c>
      <c r="N34" s="65">
        <v>254</v>
      </c>
      <c r="O34" s="65">
        <v>307</v>
      </c>
      <c r="P34" s="65">
        <v>307</v>
      </c>
      <c r="Q34" s="65">
        <v>307</v>
      </c>
      <c r="R34" s="65">
        <v>291</v>
      </c>
      <c r="S34" s="65">
        <v>270</v>
      </c>
      <c r="T34" s="65">
        <v>287</v>
      </c>
      <c r="U34" s="65">
        <v>262</v>
      </c>
      <c r="V34" s="65">
        <v>262</v>
      </c>
      <c r="W34" s="65">
        <v>233</v>
      </c>
      <c r="X34" s="65">
        <v>383</v>
      </c>
      <c r="Y34" s="65">
        <v>408</v>
      </c>
      <c r="Z34" s="65">
        <v>349</v>
      </c>
      <c r="AA34" s="65">
        <v>512</v>
      </c>
      <c r="AB34" s="65">
        <v>550</v>
      </c>
      <c r="AC34" s="65">
        <v>605</v>
      </c>
      <c r="AD34" s="65">
        <v>791</v>
      </c>
      <c r="AE34" s="65">
        <v>554</v>
      </c>
      <c r="AF34" s="65">
        <v>484</v>
      </c>
      <c r="AG34" s="65">
        <v>626</v>
      </c>
      <c r="AH34" s="65">
        <v>750</v>
      </c>
      <c r="AI34" s="65">
        <v>671</v>
      </c>
      <c r="AJ34" s="65">
        <v>910</v>
      </c>
      <c r="AK34" s="65">
        <v>773</v>
      </c>
      <c r="AL34" s="65">
        <v>773</v>
      </c>
      <c r="AM34" s="65">
        <v>996</v>
      </c>
      <c r="AN34" s="65">
        <v>635</v>
      </c>
      <c r="AO34" s="65">
        <v>782</v>
      </c>
      <c r="AP34" s="65">
        <v>860</v>
      </c>
      <c r="AQ34" s="65">
        <v>851</v>
      </c>
      <c r="AR34" s="65">
        <v>0</v>
      </c>
      <c r="AS34" s="65">
        <v>0</v>
      </c>
      <c r="AT34" s="65">
        <v>195.6</v>
      </c>
      <c r="AU34" s="65">
        <v>167.6</v>
      </c>
      <c r="AV34" s="65">
        <v>0</v>
      </c>
      <c r="AW34" s="65">
        <v>0</v>
      </c>
      <c r="AX34" s="65">
        <v>206.6</v>
      </c>
      <c r="AY34" s="65">
        <v>211.9</v>
      </c>
      <c r="AZ34" s="65">
        <v>0</v>
      </c>
      <c r="BA34" s="65">
        <v>0</v>
      </c>
      <c r="BB34" s="65">
        <v>392</v>
      </c>
      <c r="BC34" s="65">
        <v>392</v>
      </c>
      <c r="BD34" s="65">
        <v>0</v>
      </c>
      <c r="BE34" s="65">
        <v>0</v>
      </c>
      <c r="BF34" s="65">
        <v>25</v>
      </c>
      <c r="BG34" s="65">
        <v>76.45</v>
      </c>
      <c r="BH34" s="65">
        <v>320.26666666666665</v>
      </c>
      <c r="BI34" s="65">
        <v>341.56666666666666</v>
      </c>
      <c r="BJ34" s="65">
        <v>759.45</v>
      </c>
      <c r="BK34" s="65">
        <v>392</v>
      </c>
      <c r="BL34" s="65">
        <v>398</v>
      </c>
      <c r="BM34" s="65">
        <v>445</v>
      </c>
      <c r="BN34" s="65">
        <v>0</v>
      </c>
      <c r="BO34" s="65">
        <v>0</v>
      </c>
      <c r="BP34" s="65">
        <v>116.8</v>
      </c>
      <c r="BQ34" s="65">
        <v>314.3</v>
      </c>
      <c r="BR34" s="65">
        <v>266.10000000000002</v>
      </c>
      <c r="BS34" s="65">
        <v>423.5</v>
      </c>
      <c r="BT34" s="65">
        <v>0</v>
      </c>
      <c r="BU34" s="65">
        <v>0</v>
      </c>
      <c r="BV34" s="65">
        <v>1432.54</v>
      </c>
      <c r="BW34" s="65">
        <v>1364.33</v>
      </c>
      <c r="BX34" s="65">
        <v>0</v>
      </c>
      <c r="BY34" s="65">
        <v>0</v>
      </c>
      <c r="BZ34" s="65">
        <v>378.36666666666662</v>
      </c>
      <c r="CA34" s="65">
        <v>346</v>
      </c>
      <c r="CB34" s="65">
        <v>0</v>
      </c>
      <c r="CC34" s="65">
        <v>0</v>
      </c>
      <c r="CD34" s="65">
        <v>130.35</v>
      </c>
      <c r="CE34" s="65">
        <v>371.8</v>
      </c>
      <c r="CF34" s="66">
        <v>0</v>
      </c>
      <c r="CG34" s="47">
        <v>25</v>
      </c>
    </row>
    <row r="35" spans="1:85">
      <c r="A35" s="51">
        <f t="shared" si="3"/>
        <v>183.3</v>
      </c>
      <c r="B35" s="64">
        <v>1</v>
      </c>
      <c r="C35" s="65">
        <v>0</v>
      </c>
      <c r="D35" s="65">
        <v>44</v>
      </c>
      <c r="E35" s="65">
        <v>86</v>
      </c>
      <c r="F35" s="65">
        <v>137</v>
      </c>
      <c r="G35" s="65">
        <v>128</v>
      </c>
      <c r="H35" s="65">
        <v>157</v>
      </c>
      <c r="I35" s="65">
        <v>165</v>
      </c>
      <c r="J35" s="65">
        <v>172</v>
      </c>
      <c r="K35" s="65">
        <v>203</v>
      </c>
      <c r="L35" s="65">
        <v>203</v>
      </c>
      <c r="M35" s="65">
        <v>178</v>
      </c>
      <c r="N35" s="65">
        <v>249</v>
      </c>
      <c r="O35" s="65">
        <v>303.3</v>
      </c>
      <c r="P35" s="65">
        <v>302.89999999999998</v>
      </c>
      <c r="Q35" s="65">
        <v>302.89999999999998</v>
      </c>
      <c r="R35" s="65">
        <v>285.5</v>
      </c>
      <c r="S35" s="65">
        <v>262.7</v>
      </c>
      <c r="T35" s="65">
        <v>280</v>
      </c>
      <c r="U35" s="65">
        <v>256</v>
      </c>
      <c r="V35" s="65">
        <v>256</v>
      </c>
      <c r="W35" s="65">
        <v>229</v>
      </c>
      <c r="X35" s="65">
        <v>382</v>
      </c>
      <c r="Y35" s="65">
        <v>402</v>
      </c>
      <c r="Z35" s="65">
        <v>341</v>
      </c>
      <c r="AA35" s="65">
        <v>508</v>
      </c>
      <c r="AB35" s="65">
        <v>549</v>
      </c>
      <c r="AC35" s="65">
        <v>600</v>
      </c>
      <c r="AD35" s="65">
        <v>766</v>
      </c>
      <c r="AE35" s="65">
        <v>526</v>
      </c>
      <c r="AF35" s="65">
        <v>482</v>
      </c>
      <c r="AG35" s="65">
        <v>620</v>
      </c>
      <c r="AH35" s="65">
        <v>747</v>
      </c>
      <c r="AI35" s="65">
        <v>670</v>
      </c>
      <c r="AJ35" s="65">
        <v>908</v>
      </c>
      <c r="AK35" s="65">
        <v>755</v>
      </c>
      <c r="AL35" s="65">
        <v>755</v>
      </c>
      <c r="AM35" s="65">
        <v>984</v>
      </c>
      <c r="AN35" s="65">
        <v>631</v>
      </c>
      <c r="AO35" s="65">
        <v>779</v>
      </c>
      <c r="AP35" s="65">
        <v>857</v>
      </c>
      <c r="AQ35" s="65">
        <v>847</v>
      </c>
      <c r="AR35" s="65">
        <v>0</v>
      </c>
      <c r="AS35" s="65">
        <v>0</v>
      </c>
      <c r="AT35" s="65">
        <v>190.7</v>
      </c>
      <c r="AU35" s="65">
        <v>163</v>
      </c>
      <c r="AV35" s="65">
        <v>0</v>
      </c>
      <c r="AW35" s="65">
        <v>0</v>
      </c>
      <c r="AX35" s="65">
        <v>200.85</v>
      </c>
      <c r="AY35" s="65">
        <v>206.6</v>
      </c>
      <c r="AZ35" s="65">
        <v>0</v>
      </c>
      <c r="BA35" s="65">
        <v>0</v>
      </c>
      <c r="BB35" s="65">
        <v>387</v>
      </c>
      <c r="BC35" s="65">
        <v>387</v>
      </c>
      <c r="BD35" s="65">
        <v>0</v>
      </c>
      <c r="BE35" s="65">
        <v>0</v>
      </c>
      <c r="BF35" s="65">
        <v>9.9499999999999993</v>
      </c>
      <c r="BG35" s="65">
        <v>56.2</v>
      </c>
      <c r="BH35" s="65">
        <v>302.83333333333331</v>
      </c>
      <c r="BI35" s="65">
        <v>329.56666666666666</v>
      </c>
      <c r="BJ35" s="65">
        <v>733.55</v>
      </c>
      <c r="BK35" s="65">
        <v>387</v>
      </c>
      <c r="BL35" s="65">
        <v>394</v>
      </c>
      <c r="BM35" s="65">
        <v>434</v>
      </c>
      <c r="BN35" s="65">
        <v>0</v>
      </c>
      <c r="BO35" s="65">
        <v>0</v>
      </c>
      <c r="BP35" s="65">
        <v>112.7</v>
      </c>
      <c r="BQ35" s="65">
        <v>305.39999999999998</v>
      </c>
      <c r="BR35" s="65">
        <v>263.39999999999998</v>
      </c>
      <c r="BS35" s="65">
        <v>414.4</v>
      </c>
      <c r="BT35" s="65">
        <v>0</v>
      </c>
      <c r="BU35" s="65">
        <v>0</v>
      </c>
      <c r="BV35" s="65">
        <v>1354.91</v>
      </c>
      <c r="BW35" s="65">
        <v>1290.4000000000001</v>
      </c>
      <c r="BX35" s="65">
        <v>0</v>
      </c>
      <c r="BY35" s="65">
        <v>0</v>
      </c>
      <c r="BZ35" s="65">
        <v>354.06666666666666</v>
      </c>
      <c r="CA35" s="65">
        <v>337</v>
      </c>
      <c r="CB35" s="65">
        <v>0</v>
      </c>
      <c r="CC35" s="65">
        <v>0</v>
      </c>
      <c r="CD35" s="65">
        <v>124.7</v>
      </c>
      <c r="CE35" s="65">
        <v>365.45000000000005</v>
      </c>
      <c r="CF35" s="66">
        <v>0</v>
      </c>
      <c r="CG35" s="47">
        <v>26</v>
      </c>
    </row>
    <row r="36" spans="1:85">
      <c r="A36" s="51">
        <f t="shared" si="3"/>
        <v>182.3</v>
      </c>
      <c r="B36" s="64">
        <v>1</v>
      </c>
      <c r="C36" s="65">
        <v>0</v>
      </c>
      <c r="D36" s="65">
        <v>26</v>
      </c>
      <c r="E36" s="65">
        <v>72</v>
      </c>
      <c r="F36" s="65">
        <v>130</v>
      </c>
      <c r="G36" s="65">
        <v>121</v>
      </c>
      <c r="H36" s="65">
        <v>150</v>
      </c>
      <c r="I36" s="65">
        <v>159</v>
      </c>
      <c r="J36" s="65">
        <v>161</v>
      </c>
      <c r="K36" s="65">
        <v>186</v>
      </c>
      <c r="L36" s="65">
        <v>186</v>
      </c>
      <c r="M36" s="65">
        <v>170</v>
      </c>
      <c r="N36" s="65">
        <v>247.5</v>
      </c>
      <c r="O36" s="65">
        <v>301</v>
      </c>
      <c r="P36" s="65">
        <v>300</v>
      </c>
      <c r="Q36" s="65">
        <v>300</v>
      </c>
      <c r="R36" s="65">
        <v>284</v>
      </c>
      <c r="S36" s="65">
        <v>262</v>
      </c>
      <c r="T36" s="65">
        <v>277.5</v>
      </c>
      <c r="U36" s="65">
        <v>254.9</v>
      </c>
      <c r="V36" s="65">
        <v>254.9</v>
      </c>
      <c r="W36" s="65">
        <v>229</v>
      </c>
      <c r="X36" s="65">
        <v>375</v>
      </c>
      <c r="Y36" s="65">
        <v>400</v>
      </c>
      <c r="Z36" s="65">
        <v>340</v>
      </c>
      <c r="AA36" s="65">
        <v>505</v>
      </c>
      <c r="AB36" s="65">
        <v>542</v>
      </c>
      <c r="AC36" s="65">
        <v>590</v>
      </c>
      <c r="AD36" s="65">
        <v>714</v>
      </c>
      <c r="AE36" s="65">
        <v>498</v>
      </c>
      <c r="AF36" s="65">
        <v>478</v>
      </c>
      <c r="AG36" s="65">
        <v>616</v>
      </c>
      <c r="AH36" s="65">
        <v>742</v>
      </c>
      <c r="AI36" s="65">
        <v>666</v>
      </c>
      <c r="AJ36" s="65">
        <v>902</v>
      </c>
      <c r="AK36" s="65">
        <v>752</v>
      </c>
      <c r="AL36" s="65">
        <v>752</v>
      </c>
      <c r="AM36" s="65">
        <v>980</v>
      </c>
      <c r="AN36" s="65">
        <v>630</v>
      </c>
      <c r="AO36" s="65">
        <v>777</v>
      </c>
      <c r="AP36" s="65">
        <v>857</v>
      </c>
      <c r="AQ36" s="65">
        <v>839</v>
      </c>
      <c r="AR36" s="65">
        <v>0</v>
      </c>
      <c r="AS36" s="65">
        <v>0</v>
      </c>
      <c r="AT36" s="65">
        <v>185.6</v>
      </c>
      <c r="AU36" s="65">
        <v>158.14999999999998</v>
      </c>
      <c r="AV36" s="65">
        <v>0</v>
      </c>
      <c r="AW36" s="65">
        <v>0</v>
      </c>
      <c r="AX36" s="65">
        <v>195.15</v>
      </c>
      <c r="AY36" s="65">
        <v>200.85</v>
      </c>
      <c r="AZ36" s="65">
        <v>0</v>
      </c>
      <c r="BA36" s="65">
        <v>0</v>
      </c>
      <c r="BB36" s="65">
        <v>383</v>
      </c>
      <c r="BC36" s="65">
        <v>383</v>
      </c>
      <c r="BD36" s="65">
        <v>0</v>
      </c>
      <c r="BE36" s="65">
        <v>0</v>
      </c>
      <c r="BF36" s="65">
        <v>0</v>
      </c>
      <c r="BG36" s="65">
        <v>25</v>
      </c>
      <c r="BH36" s="65">
        <v>231.56666666666669</v>
      </c>
      <c r="BI36" s="65">
        <v>318.43333333333334</v>
      </c>
      <c r="BJ36" s="65">
        <v>722.25</v>
      </c>
      <c r="BK36" s="65">
        <v>383</v>
      </c>
      <c r="BL36" s="65">
        <v>394</v>
      </c>
      <c r="BM36" s="65">
        <v>426</v>
      </c>
      <c r="BN36" s="65">
        <v>0</v>
      </c>
      <c r="BO36" s="65">
        <v>0</v>
      </c>
      <c r="BP36" s="65">
        <v>108.3</v>
      </c>
      <c r="BQ36" s="65">
        <v>300.2</v>
      </c>
      <c r="BR36" s="65">
        <v>261.2</v>
      </c>
      <c r="BS36" s="65">
        <v>404.85</v>
      </c>
      <c r="BT36" s="65">
        <v>0</v>
      </c>
      <c r="BU36" s="65">
        <v>0</v>
      </c>
      <c r="BV36" s="65">
        <v>1317.77</v>
      </c>
      <c r="BW36" s="65">
        <v>1255.02</v>
      </c>
      <c r="BX36" s="65">
        <v>0</v>
      </c>
      <c r="BY36" s="65">
        <v>0</v>
      </c>
      <c r="BZ36" s="65">
        <v>323.0333333333333</v>
      </c>
      <c r="CA36" s="65">
        <v>329</v>
      </c>
      <c r="CB36" s="65">
        <v>0</v>
      </c>
      <c r="CC36" s="65">
        <v>0</v>
      </c>
      <c r="CD36" s="65">
        <v>119.1</v>
      </c>
      <c r="CE36" s="65">
        <v>358.6</v>
      </c>
      <c r="CF36" s="66">
        <v>0</v>
      </c>
      <c r="CG36" s="47">
        <v>27</v>
      </c>
    </row>
    <row r="37" spans="1:85">
      <c r="A37" s="51">
        <f t="shared" si="3"/>
        <v>181.3</v>
      </c>
      <c r="B37" s="64">
        <v>1</v>
      </c>
      <c r="C37" s="65">
        <v>0</v>
      </c>
      <c r="D37" s="65">
        <v>21</v>
      </c>
      <c r="E37" s="65">
        <v>64.3</v>
      </c>
      <c r="F37" s="65">
        <v>129</v>
      </c>
      <c r="G37" s="65">
        <v>115.4</v>
      </c>
      <c r="H37" s="65">
        <v>136.30000000000001</v>
      </c>
      <c r="I37" s="65">
        <v>140.9</v>
      </c>
      <c r="J37" s="65">
        <v>133.9</v>
      </c>
      <c r="K37" s="65">
        <v>157.4</v>
      </c>
      <c r="L37" s="65">
        <v>157.4</v>
      </c>
      <c r="M37" s="65">
        <v>162</v>
      </c>
      <c r="N37" s="65">
        <v>244</v>
      </c>
      <c r="O37" s="65">
        <v>294</v>
      </c>
      <c r="P37" s="65">
        <v>295.89999999999998</v>
      </c>
      <c r="Q37" s="65">
        <v>295.89999999999998</v>
      </c>
      <c r="R37" s="65">
        <v>279.10000000000002</v>
      </c>
      <c r="S37" s="65">
        <v>255</v>
      </c>
      <c r="T37" s="65">
        <v>272</v>
      </c>
      <c r="U37" s="65">
        <v>249</v>
      </c>
      <c r="V37" s="65">
        <v>249</v>
      </c>
      <c r="W37" s="65">
        <v>223</v>
      </c>
      <c r="X37" s="65">
        <v>370</v>
      </c>
      <c r="Y37" s="65">
        <v>391</v>
      </c>
      <c r="Z37" s="65">
        <v>333</v>
      </c>
      <c r="AA37" s="65">
        <v>504</v>
      </c>
      <c r="AB37" s="65">
        <v>541</v>
      </c>
      <c r="AC37" s="65">
        <v>586</v>
      </c>
      <c r="AD37" s="65">
        <v>705</v>
      </c>
      <c r="AE37" s="65">
        <v>496</v>
      </c>
      <c r="AF37" s="65">
        <v>474</v>
      </c>
      <c r="AG37" s="65">
        <v>610</v>
      </c>
      <c r="AH37" s="65">
        <v>734</v>
      </c>
      <c r="AI37" s="65">
        <v>665</v>
      </c>
      <c r="AJ37" s="65">
        <v>896</v>
      </c>
      <c r="AK37" s="65">
        <v>738</v>
      </c>
      <c r="AL37" s="65">
        <v>738</v>
      </c>
      <c r="AM37" s="65">
        <v>970</v>
      </c>
      <c r="AN37" s="65">
        <v>628</v>
      </c>
      <c r="AO37" s="65">
        <v>770</v>
      </c>
      <c r="AP37" s="65">
        <v>826</v>
      </c>
      <c r="AQ37" s="65">
        <v>832</v>
      </c>
      <c r="AR37" s="65">
        <v>0</v>
      </c>
      <c r="AS37" s="65">
        <v>0</v>
      </c>
      <c r="AT37" s="65">
        <v>175.9</v>
      </c>
      <c r="AU37" s="65">
        <v>150.94999999999999</v>
      </c>
      <c r="AV37" s="65">
        <v>0</v>
      </c>
      <c r="AW37" s="65">
        <v>0</v>
      </c>
      <c r="AX37" s="65">
        <v>189.15</v>
      </c>
      <c r="AY37" s="65">
        <v>195.15</v>
      </c>
      <c r="AZ37" s="65">
        <v>0</v>
      </c>
      <c r="BA37" s="65">
        <v>0</v>
      </c>
      <c r="BB37" s="65">
        <v>378</v>
      </c>
      <c r="BC37" s="65">
        <v>378</v>
      </c>
      <c r="BD37" s="65">
        <v>0</v>
      </c>
      <c r="BE37" s="65">
        <v>0</v>
      </c>
      <c r="BF37" s="65">
        <v>0</v>
      </c>
      <c r="BG37" s="65">
        <v>9.9499999999999993</v>
      </c>
      <c r="BH37" s="65">
        <v>192.20000000000002</v>
      </c>
      <c r="BI37" s="65">
        <v>309.86666666666667</v>
      </c>
      <c r="BJ37" s="65">
        <v>709.8</v>
      </c>
      <c r="BK37" s="65">
        <v>378</v>
      </c>
      <c r="BL37" s="65">
        <v>390</v>
      </c>
      <c r="BM37" s="65">
        <v>422</v>
      </c>
      <c r="BN37" s="65">
        <v>0</v>
      </c>
      <c r="BO37" s="65">
        <v>0</v>
      </c>
      <c r="BP37" s="65">
        <v>102.2</v>
      </c>
      <c r="BQ37" s="65">
        <v>295.2</v>
      </c>
      <c r="BR37" s="65">
        <v>258.7</v>
      </c>
      <c r="BS37" s="65">
        <v>389.54999999999995</v>
      </c>
      <c r="BT37" s="65">
        <v>0</v>
      </c>
      <c r="BU37" s="65">
        <v>0</v>
      </c>
      <c r="BV37" s="65">
        <v>1305.31</v>
      </c>
      <c r="BW37" s="65">
        <v>1243.1500000000001</v>
      </c>
      <c r="BX37" s="65">
        <v>0</v>
      </c>
      <c r="BY37" s="65">
        <v>0</v>
      </c>
      <c r="BZ37" s="65">
        <v>301.09999999999997</v>
      </c>
      <c r="CA37" s="65">
        <v>320</v>
      </c>
      <c r="CB37" s="65">
        <v>0</v>
      </c>
      <c r="CC37" s="65">
        <v>0</v>
      </c>
      <c r="CD37" s="65">
        <v>113.5</v>
      </c>
      <c r="CE37" s="65">
        <v>351.79999999999995</v>
      </c>
      <c r="CF37" s="66">
        <v>0</v>
      </c>
      <c r="CG37" s="47">
        <v>28</v>
      </c>
    </row>
    <row r="38" spans="1:85">
      <c r="A38" s="51">
        <f t="shared" si="3"/>
        <v>180.3</v>
      </c>
      <c r="B38" s="64">
        <v>1</v>
      </c>
      <c r="C38" s="65">
        <v>0</v>
      </c>
      <c r="D38" s="65">
        <v>21</v>
      </c>
      <c r="E38" s="65">
        <v>58.6</v>
      </c>
      <c r="F38" s="65">
        <v>119</v>
      </c>
      <c r="G38" s="65">
        <v>102.7</v>
      </c>
      <c r="H38" s="65">
        <v>115.3</v>
      </c>
      <c r="I38" s="65">
        <v>116</v>
      </c>
      <c r="J38" s="65">
        <v>112.1</v>
      </c>
      <c r="K38" s="65">
        <v>143.19999999999999</v>
      </c>
      <c r="L38" s="65">
        <v>143.19999999999999</v>
      </c>
      <c r="M38" s="65">
        <v>145.19999999999999</v>
      </c>
      <c r="N38" s="65">
        <v>212.2</v>
      </c>
      <c r="O38" s="65">
        <v>293.10000000000002</v>
      </c>
      <c r="P38" s="65">
        <v>294</v>
      </c>
      <c r="Q38" s="65">
        <v>294</v>
      </c>
      <c r="R38" s="65">
        <v>278</v>
      </c>
      <c r="S38" s="65">
        <v>254.7</v>
      </c>
      <c r="T38" s="65">
        <v>268.7</v>
      </c>
      <c r="U38" s="65">
        <v>245.8</v>
      </c>
      <c r="V38" s="65">
        <v>245.8</v>
      </c>
      <c r="W38" s="65">
        <v>223</v>
      </c>
      <c r="X38" s="65">
        <v>366</v>
      </c>
      <c r="Y38" s="65">
        <v>382</v>
      </c>
      <c r="Z38" s="65">
        <v>332</v>
      </c>
      <c r="AA38" s="65">
        <v>500</v>
      </c>
      <c r="AB38" s="65">
        <v>535</v>
      </c>
      <c r="AC38" s="65">
        <v>578</v>
      </c>
      <c r="AD38" s="65">
        <v>667</v>
      </c>
      <c r="AE38" s="65">
        <v>476</v>
      </c>
      <c r="AF38" s="65">
        <v>469</v>
      </c>
      <c r="AG38" s="65">
        <v>608</v>
      </c>
      <c r="AH38" s="65">
        <v>734</v>
      </c>
      <c r="AI38" s="65">
        <v>660</v>
      </c>
      <c r="AJ38" s="65">
        <v>886</v>
      </c>
      <c r="AK38" s="65">
        <v>717</v>
      </c>
      <c r="AL38" s="65">
        <v>717</v>
      </c>
      <c r="AM38" s="65">
        <v>967</v>
      </c>
      <c r="AN38" s="65">
        <v>627</v>
      </c>
      <c r="AO38" s="65">
        <v>759</v>
      </c>
      <c r="AP38" s="65">
        <v>825</v>
      </c>
      <c r="AQ38" s="65">
        <v>826</v>
      </c>
      <c r="AR38" s="65">
        <v>0</v>
      </c>
      <c r="AS38" s="65">
        <v>0</v>
      </c>
      <c r="AT38" s="65">
        <v>150.9</v>
      </c>
      <c r="AU38" s="65">
        <v>136.05000000000001</v>
      </c>
      <c r="AV38" s="65">
        <v>0</v>
      </c>
      <c r="AW38" s="65">
        <v>0</v>
      </c>
      <c r="AX38" s="65">
        <v>182.05</v>
      </c>
      <c r="AY38" s="65">
        <v>189.15</v>
      </c>
      <c r="AZ38" s="65">
        <v>0</v>
      </c>
      <c r="BA38" s="65">
        <v>0</v>
      </c>
      <c r="BB38" s="65">
        <v>375</v>
      </c>
      <c r="BC38" s="65">
        <v>375</v>
      </c>
      <c r="BD38" s="65">
        <v>0</v>
      </c>
      <c r="BE38" s="65">
        <v>0</v>
      </c>
      <c r="BF38" s="65">
        <v>0</v>
      </c>
      <c r="BG38" s="65">
        <v>0</v>
      </c>
      <c r="BH38" s="65">
        <v>174.4</v>
      </c>
      <c r="BI38" s="65">
        <v>301.46666666666664</v>
      </c>
      <c r="BJ38" s="65">
        <v>683.95</v>
      </c>
      <c r="BK38" s="65">
        <v>375</v>
      </c>
      <c r="BL38" s="65">
        <v>389</v>
      </c>
      <c r="BM38" s="65">
        <v>412</v>
      </c>
      <c r="BN38" s="65">
        <v>0</v>
      </c>
      <c r="BO38" s="65">
        <v>0</v>
      </c>
      <c r="BP38" s="65">
        <v>90.3</v>
      </c>
      <c r="BQ38" s="65">
        <v>290.39999999999998</v>
      </c>
      <c r="BR38" s="65">
        <v>255.6</v>
      </c>
      <c r="BS38" s="65">
        <v>371.05</v>
      </c>
      <c r="BT38" s="65">
        <v>0</v>
      </c>
      <c r="BU38" s="65">
        <v>0</v>
      </c>
      <c r="BV38" s="65">
        <v>1293.03</v>
      </c>
      <c r="BW38" s="65">
        <v>1231.46</v>
      </c>
      <c r="BX38" s="65">
        <v>0</v>
      </c>
      <c r="BY38" s="65">
        <v>0</v>
      </c>
      <c r="BZ38" s="65">
        <v>271.90000000000003</v>
      </c>
      <c r="CA38" s="65">
        <v>313</v>
      </c>
      <c r="CB38" s="65">
        <v>0</v>
      </c>
      <c r="CC38" s="65">
        <v>0</v>
      </c>
      <c r="CD38" s="65">
        <v>107.9</v>
      </c>
      <c r="CE38" s="65">
        <v>346.35</v>
      </c>
      <c r="CF38" s="66">
        <v>0</v>
      </c>
      <c r="CG38" s="47">
        <v>29</v>
      </c>
    </row>
    <row r="39" spans="1:85">
      <c r="A39" s="51">
        <f t="shared" si="3"/>
        <v>179.3</v>
      </c>
      <c r="B39" s="64">
        <v>1</v>
      </c>
      <c r="C39" s="65">
        <v>0</v>
      </c>
      <c r="D39" s="65">
        <v>21</v>
      </c>
      <c r="E39" s="65">
        <v>51.1</v>
      </c>
      <c r="F39" s="65">
        <v>104.3</v>
      </c>
      <c r="G39" s="65">
        <v>91</v>
      </c>
      <c r="H39" s="65">
        <v>105.8</v>
      </c>
      <c r="I39" s="65">
        <v>108.3</v>
      </c>
      <c r="J39" s="65">
        <v>105.3</v>
      </c>
      <c r="K39" s="65">
        <v>136.4</v>
      </c>
      <c r="L39" s="65">
        <v>136.4</v>
      </c>
      <c r="M39" s="65">
        <v>132.19999999999999</v>
      </c>
      <c r="N39" s="65">
        <v>182.6</v>
      </c>
      <c r="O39" s="65">
        <v>271.10000000000002</v>
      </c>
      <c r="P39" s="65">
        <v>282.5</v>
      </c>
      <c r="Q39" s="65">
        <v>282.5</v>
      </c>
      <c r="R39" s="65">
        <v>272.7</v>
      </c>
      <c r="S39" s="65">
        <v>248.4</v>
      </c>
      <c r="T39" s="65">
        <v>257.10000000000002</v>
      </c>
      <c r="U39" s="65">
        <v>235.5</v>
      </c>
      <c r="V39" s="65">
        <v>235.5</v>
      </c>
      <c r="W39" s="65">
        <v>217</v>
      </c>
      <c r="X39" s="65">
        <v>353</v>
      </c>
      <c r="Y39" s="65">
        <v>363</v>
      </c>
      <c r="Z39" s="65">
        <v>324</v>
      </c>
      <c r="AA39" s="65">
        <v>500</v>
      </c>
      <c r="AB39" s="65">
        <v>529</v>
      </c>
      <c r="AC39" s="65">
        <v>554</v>
      </c>
      <c r="AD39" s="65">
        <v>623</v>
      </c>
      <c r="AE39" s="65">
        <v>460</v>
      </c>
      <c r="AF39" s="65">
        <v>466</v>
      </c>
      <c r="AG39" s="65">
        <v>602</v>
      </c>
      <c r="AH39" s="65">
        <v>729</v>
      </c>
      <c r="AI39" s="65">
        <v>657</v>
      </c>
      <c r="AJ39" s="65">
        <v>877</v>
      </c>
      <c r="AK39" s="65">
        <v>700</v>
      </c>
      <c r="AL39" s="65">
        <v>700</v>
      </c>
      <c r="AM39" s="65">
        <v>959</v>
      </c>
      <c r="AN39" s="65">
        <v>625</v>
      </c>
      <c r="AO39" s="65">
        <v>751</v>
      </c>
      <c r="AP39" s="65">
        <v>822</v>
      </c>
      <c r="AQ39" s="65">
        <v>824</v>
      </c>
      <c r="AR39" s="65">
        <v>0</v>
      </c>
      <c r="AS39" s="65">
        <v>0</v>
      </c>
      <c r="AT39" s="65">
        <v>80.5</v>
      </c>
      <c r="AU39" s="65">
        <v>115.5</v>
      </c>
      <c r="AV39" s="65">
        <v>0</v>
      </c>
      <c r="AW39" s="65">
        <v>0</v>
      </c>
      <c r="AX39" s="65">
        <v>175</v>
      </c>
      <c r="AY39" s="65">
        <v>182.05</v>
      </c>
      <c r="AZ39" s="65">
        <v>0</v>
      </c>
      <c r="BA39" s="65">
        <v>0</v>
      </c>
      <c r="BB39" s="65">
        <v>361</v>
      </c>
      <c r="BC39" s="65">
        <v>361</v>
      </c>
      <c r="BD39" s="65">
        <v>0</v>
      </c>
      <c r="BE39" s="65">
        <v>0</v>
      </c>
      <c r="BF39" s="65">
        <v>0</v>
      </c>
      <c r="BG39" s="65">
        <v>0</v>
      </c>
      <c r="BH39" s="65">
        <v>159.43333333333331</v>
      </c>
      <c r="BI39" s="65">
        <v>292.63333333333333</v>
      </c>
      <c r="BJ39" s="65">
        <v>620.95000000000005</v>
      </c>
      <c r="BK39" s="65">
        <v>361</v>
      </c>
      <c r="BL39" s="65">
        <v>385</v>
      </c>
      <c r="BM39" s="65">
        <v>399</v>
      </c>
      <c r="BN39" s="65">
        <v>0</v>
      </c>
      <c r="BO39" s="65">
        <v>0</v>
      </c>
      <c r="BP39" s="65">
        <v>56.9</v>
      </c>
      <c r="BQ39" s="65">
        <v>284.60000000000002</v>
      </c>
      <c r="BR39" s="65">
        <v>252</v>
      </c>
      <c r="BS39" s="65">
        <v>364.20000000000005</v>
      </c>
      <c r="BT39" s="65">
        <v>0</v>
      </c>
      <c r="BU39" s="65">
        <v>0</v>
      </c>
      <c r="BV39" s="65">
        <v>1281.08</v>
      </c>
      <c r="BW39" s="65">
        <v>1220.07</v>
      </c>
      <c r="BX39" s="65">
        <v>0</v>
      </c>
      <c r="BY39" s="65">
        <v>0</v>
      </c>
      <c r="BZ39" s="65">
        <v>243.36666666666665</v>
      </c>
      <c r="CA39" s="65">
        <v>305</v>
      </c>
      <c r="CB39" s="65">
        <v>0</v>
      </c>
      <c r="CC39" s="65">
        <v>0</v>
      </c>
      <c r="CD39" s="65">
        <v>101.9</v>
      </c>
      <c r="CE39" s="65">
        <v>341.79999999999995</v>
      </c>
      <c r="CF39" s="66">
        <v>0</v>
      </c>
      <c r="CG39" s="47">
        <v>30</v>
      </c>
    </row>
    <row r="40" spans="1:85">
      <c r="A40" s="51">
        <f t="shared" si="3"/>
        <v>178.3</v>
      </c>
      <c r="B40" s="64">
        <v>1</v>
      </c>
      <c r="C40" s="65">
        <v>0</v>
      </c>
      <c r="D40" s="65">
        <v>0</v>
      </c>
      <c r="E40" s="65">
        <v>36.1</v>
      </c>
      <c r="F40" s="65">
        <v>56.2</v>
      </c>
      <c r="G40" s="65">
        <v>65.3</v>
      </c>
      <c r="H40" s="65">
        <v>89</v>
      </c>
      <c r="I40" s="65">
        <v>100.4</v>
      </c>
      <c r="J40" s="65">
        <v>98.6</v>
      </c>
      <c r="K40" s="65">
        <v>120.4</v>
      </c>
      <c r="L40" s="65">
        <v>120.4</v>
      </c>
      <c r="M40" s="65">
        <v>110.8</v>
      </c>
      <c r="N40" s="65">
        <v>151.69999999999999</v>
      </c>
      <c r="O40" s="65">
        <v>236.4</v>
      </c>
      <c r="P40" s="65">
        <v>254.6</v>
      </c>
      <c r="Q40" s="65">
        <v>254.6</v>
      </c>
      <c r="R40" s="65">
        <v>255.6</v>
      </c>
      <c r="S40" s="65">
        <v>238.6</v>
      </c>
      <c r="T40" s="65">
        <v>243.1</v>
      </c>
      <c r="U40" s="65">
        <v>222</v>
      </c>
      <c r="V40" s="65">
        <v>222</v>
      </c>
      <c r="W40" s="65">
        <v>211</v>
      </c>
      <c r="X40" s="65">
        <v>336</v>
      </c>
      <c r="Y40" s="65">
        <v>338</v>
      </c>
      <c r="Z40" s="65">
        <v>311</v>
      </c>
      <c r="AA40" s="65">
        <v>494</v>
      </c>
      <c r="AB40" s="65">
        <v>512</v>
      </c>
      <c r="AC40" s="65">
        <v>519</v>
      </c>
      <c r="AD40" s="65">
        <v>582</v>
      </c>
      <c r="AE40" s="65">
        <v>450</v>
      </c>
      <c r="AF40" s="65">
        <v>458</v>
      </c>
      <c r="AG40" s="65">
        <v>588</v>
      </c>
      <c r="AH40" s="65">
        <v>729</v>
      </c>
      <c r="AI40" s="65">
        <v>656</v>
      </c>
      <c r="AJ40" s="65">
        <v>862</v>
      </c>
      <c r="AK40" s="65">
        <v>675</v>
      </c>
      <c r="AL40" s="65">
        <v>675</v>
      </c>
      <c r="AM40" s="65">
        <v>954</v>
      </c>
      <c r="AN40" s="65">
        <v>614</v>
      </c>
      <c r="AO40" s="65">
        <v>748</v>
      </c>
      <c r="AP40" s="65">
        <v>821</v>
      </c>
      <c r="AQ40" s="65">
        <v>818</v>
      </c>
      <c r="AR40" s="65">
        <v>0</v>
      </c>
      <c r="AS40" s="65">
        <v>0</v>
      </c>
      <c r="AT40" s="65">
        <v>46.3</v>
      </c>
      <c r="AU40" s="65">
        <v>109.4</v>
      </c>
      <c r="AV40" s="65">
        <v>0</v>
      </c>
      <c r="AW40" s="65">
        <v>0</v>
      </c>
      <c r="AX40" s="65">
        <v>167.5</v>
      </c>
      <c r="AY40" s="65">
        <v>175</v>
      </c>
      <c r="AZ40" s="65">
        <v>0</v>
      </c>
      <c r="BA40" s="65">
        <v>0</v>
      </c>
      <c r="BB40" s="65">
        <v>336</v>
      </c>
      <c r="BC40" s="65">
        <v>336</v>
      </c>
      <c r="BD40" s="65">
        <v>0</v>
      </c>
      <c r="BE40" s="65">
        <v>0</v>
      </c>
      <c r="BF40" s="65">
        <v>0</v>
      </c>
      <c r="BG40" s="65">
        <v>0</v>
      </c>
      <c r="BH40" s="65">
        <v>142.6</v>
      </c>
      <c r="BI40" s="65">
        <v>277.26666666666665</v>
      </c>
      <c r="BJ40" s="65">
        <v>581.65</v>
      </c>
      <c r="BK40" s="65">
        <v>336</v>
      </c>
      <c r="BL40" s="65">
        <v>384</v>
      </c>
      <c r="BM40" s="65">
        <v>385</v>
      </c>
      <c r="BN40" s="65">
        <v>0</v>
      </c>
      <c r="BO40" s="65">
        <v>0</v>
      </c>
      <c r="BP40" s="65">
        <v>20</v>
      </c>
      <c r="BQ40" s="65">
        <v>278.10000000000002</v>
      </c>
      <c r="BR40" s="65">
        <v>247.7</v>
      </c>
      <c r="BS40" s="65">
        <v>358.15</v>
      </c>
      <c r="BT40" s="65">
        <v>0</v>
      </c>
      <c r="BU40" s="65">
        <v>0</v>
      </c>
      <c r="BV40" s="65">
        <v>1269.0899999999999</v>
      </c>
      <c r="BW40" s="65">
        <v>1208.6600000000001</v>
      </c>
      <c r="BX40" s="65">
        <v>0</v>
      </c>
      <c r="BY40" s="65">
        <v>0</v>
      </c>
      <c r="BZ40" s="65">
        <v>220.5333333333333</v>
      </c>
      <c r="CA40" s="65">
        <v>297</v>
      </c>
      <c r="CB40" s="65">
        <v>0</v>
      </c>
      <c r="CC40" s="65">
        <v>0</v>
      </c>
      <c r="CD40" s="65">
        <v>92.5</v>
      </c>
      <c r="CE40" s="65">
        <v>337.20000000000005</v>
      </c>
      <c r="CF40" s="66">
        <v>0</v>
      </c>
      <c r="CG40" s="47">
        <v>31</v>
      </c>
    </row>
    <row r="41" spans="1:85">
      <c r="A41" s="51">
        <f t="shared" si="3"/>
        <v>177.3</v>
      </c>
      <c r="B41" s="64">
        <v>1</v>
      </c>
      <c r="C41" s="65">
        <v>0</v>
      </c>
      <c r="D41" s="65">
        <v>0</v>
      </c>
      <c r="E41" s="65">
        <v>0</v>
      </c>
      <c r="F41" s="65">
        <v>21.9</v>
      </c>
      <c r="G41" s="65">
        <v>21.7</v>
      </c>
      <c r="H41" s="65">
        <v>56.6</v>
      </c>
      <c r="I41" s="65">
        <v>81</v>
      </c>
      <c r="J41" s="65">
        <v>86.3</v>
      </c>
      <c r="K41" s="65">
        <v>110.3</v>
      </c>
      <c r="L41" s="65">
        <v>110.3</v>
      </c>
      <c r="M41" s="65">
        <v>100.1</v>
      </c>
      <c r="N41" s="65">
        <v>138.9</v>
      </c>
      <c r="O41" s="65">
        <v>202.9</v>
      </c>
      <c r="P41" s="65">
        <v>216.9</v>
      </c>
      <c r="Q41" s="65">
        <v>216.9</v>
      </c>
      <c r="R41" s="65">
        <v>225.6</v>
      </c>
      <c r="S41" s="65">
        <v>226</v>
      </c>
      <c r="T41" s="65">
        <v>233.1</v>
      </c>
      <c r="U41" s="65">
        <v>212.4</v>
      </c>
      <c r="V41" s="65">
        <v>212.4</v>
      </c>
      <c r="W41" s="65">
        <v>206</v>
      </c>
      <c r="X41" s="65">
        <v>286</v>
      </c>
      <c r="Y41" s="65">
        <v>283</v>
      </c>
      <c r="Z41" s="65">
        <v>275</v>
      </c>
      <c r="AA41" s="65">
        <v>491</v>
      </c>
      <c r="AB41" s="65">
        <v>436</v>
      </c>
      <c r="AC41" s="65">
        <v>398</v>
      </c>
      <c r="AD41" s="65">
        <v>451</v>
      </c>
      <c r="AE41" s="65">
        <v>439</v>
      </c>
      <c r="AF41" s="65">
        <v>406</v>
      </c>
      <c r="AG41" s="65">
        <v>516</v>
      </c>
      <c r="AH41" s="65">
        <v>664</v>
      </c>
      <c r="AI41" s="65">
        <v>652</v>
      </c>
      <c r="AJ41" s="65">
        <v>854</v>
      </c>
      <c r="AK41" s="65">
        <v>587</v>
      </c>
      <c r="AL41" s="65">
        <v>587</v>
      </c>
      <c r="AM41" s="65">
        <v>939</v>
      </c>
      <c r="AN41" s="65">
        <v>612</v>
      </c>
      <c r="AO41" s="65">
        <v>695</v>
      </c>
      <c r="AP41" s="65">
        <v>778</v>
      </c>
      <c r="AQ41" s="65">
        <v>759</v>
      </c>
      <c r="AR41" s="65">
        <v>0</v>
      </c>
      <c r="AS41" s="65">
        <v>0</v>
      </c>
      <c r="AT41" s="65">
        <v>20</v>
      </c>
      <c r="AU41" s="65">
        <v>103.2</v>
      </c>
      <c r="AV41" s="65">
        <v>0</v>
      </c>
      <c r="AW41" s="65">
        <v>0</v>
      </c>
      <c r="AX41" s="65">
        <v>158.69999999999999</v>
      </c>
      <c r="AY41" s="65">
        <v>167.5</v>
      </c>
      <c r="AZ41" s="65">
        <v>0</v>
      </c>
      <c r="BA41" s="65">
        <v>0</v>
      </c>
      <c r="BB41" s="65">
        <v>326</v>
      </c>
      <c r="BC41" s="65">
        <v>326</v>
      </c>
      <c r="BD41" s="65">
        <v>0</v>
      </c>
      <c r="BE41" s="65">
        <v>0</v>
      </c>
      <c r="BF41" s="65">
        <v>0</v>
      </c>
      <c r="BG41" s="65">
        <v>0</v>
      </c>
      <c r="BH41" s="65">
        <v>135.83333333333334</v>
      </c>
      <c r="BI41" s="65">
        <v>263.26666666666665</v>
      </c>
      <c r="BJ41" s="65">
        <v>561.95000000000005</v>
      </c>
      <c r="BK41" s="65">
        <v>326</v>
      </c>
      <c r="BL41" s="65">
        <v>380</v>
      </c>
      <c r="BM41" s="65">
        <v>369</v>
      </c>
      <c r="BN41" s="65">
        <v>0</v>
      </c>
      <c r="BO41" s="65">
        <v>0</v>
      </c>
      <c r="BP41" s="65">
        <v>0</v>
      </c>
      <c r="BQ41" s="65">
        <v>271.89999999999998</v>
      </c>
      <c r="BR41" s="65">
        <v>243.4</v>
      </c>
      <c r="BS41" s="65">
        <v>352.7</v>
      </c>
      <c r="BT41" s="65">
        <v>0</v>
      </c>
      <c r="BU41" s="65">
        <v>0</v>
      </c>
      <c r="BV41" s="65">
        <v>1256.95</v>
      </c>
      <c r="BW41" s="65">
        <v>1197.0999999999999</v>
      </c>
      <c r="BX41" s="65">
        <v>0</v>
      </c>
      <c r="BY41" s="65">
        <v>0</v>
      </c>
      <c r="BZ41" s="65">
        <v>205.36666666666667</v>
      </c>
      <c r="CA41" s="65">
        <v>289</v>
      </c>
      <c r="CB41" s="65">
        <v>0</v>
      </c>
      <c r="CC41" s="65">
        <v>0</v>
      </c>
      <c r="CD41" s="65">
        <v>81.2</v>
      </c>
      <c r="CE41" s="65">
        <v>332.25</v>
      </c>
      <c r="CF41" s="66">
        <v>0</v>
      </c>
      <c r="CG41" s="47">
        <v>32</v>
      </c>
    </row>
    <row r="42" spans="1:85">
      <c r="A42" s="51">
        <f t="shared" si="3"/>
        <v>176.3</v>
      </c>
      <c r="B42" s="64">
        <v>1</v>
      </c>
      <c r="C42" s="65">
        <v>0</v>
      </c>
      <c r="D42" s="65">
        <v>0</v>
      </c>
      <c r="E42" s="65">
        <v>0</v>
      </c>
      <c r="F42" s="65">
        <v>0</v>
      </c>
      <c r="G42" s="65">
        <v>0</v>
      </c>
      <c r="H42" s="65">
        <v>27.7</v>
      </c>
      <c r="I42" s="65">
        <v>51.7</v>
      </c>
      <c r="J42" s="65">
        <v>69.400000000000006</v>
      </c>
      <c r="K42" s="65">
        <v>102.7</v>
      </c>
      <c r="L42" s="65">
        <v>102.7</v>
      </c>
      <c r="M42" s="65">
        <v>93</v>
      </c>
      <c r="N42" s="65">
        <v>130.1</v>
      </c>
      <c r="O42" s="65">
        <v>184.1</v>
      </c>
      <c r="P42" s="65">
        <v>187.8</v>
      </c>
      <c r="Q42" s="65">
        <v>187.8</v>
      </c>
      <c r="R42" s="65">
        <v>191.7</v>
      </c>
      <c r="S42" s="65">
        <v>198.9</v>
      </c>
      <c r="T42" s="65">
        <v>219.5</v>
      </c>
      <c r="U42" s="65">
        <v>202.9</v>
      </c>
      <c r="V42" s="65">
        <v>202.9</v>
      </c>
      <c r="W42" s="65">
        <v>198</v>
      </c>
      <c r="X42" s="65">
        <v>276</v>
      </c>
      <c r="Y42" s="65">
        <v>270</v>
      </c>
      <c r="Z42" s="65">
        <v>264</v>
      </c>
      <c r="AA42" s="65">
        <v>487</v>
      </c>
      <c r="AB42" s="65">
        <v>425</v>
      </c>
      <c r="AC42" s="65">
        <v>382</v>
      </c>
      <c r="AD42" s="65">
        <v>432</v>
      </c>
      <c r="AE42" s="65">
        <v>428</v>
      </c>
      <c r="AF42" s="65">
        <v>399</v>
      </c>
      <c r="AG42" s="65">
        <v>499</v>
      </c>
      <c r="AH42" s="65">
        <v>656</v>
      </c>
      <c r="AI42" s="65">
        <v>650</v>
      </c>
      <c r="AJ42" s="65">
        <v>845</v>
      </c>
      <c r="AK42" s="65">
        <v>571</v>
      </c>
      <c r="AL42" s="65">
        <v>571</v>
      </c>
      <c r="AM42" s="65">
        <v>924</v>
      </c>
      <c r="AN42" s="65">
        <v>609</v>
      </c>
      <c r="AO42" s="65">
        <v>692</v>
      </c>
      <c r="AP42" s="65">
        <v>774</v>
      </c>
      <c r="AQ42" s="65">
        <v>756</v>
      </c>
      <c r="AR42" s="65">
        <v>0</v>
      </c>
      <c r="AS42" s="65">
        <v>0</v>
      </c>
      <c r="AT42" s="65">
        <v>0</v>
      </c>
      <c r="AU42" s="65">
        <v>97.1</v>
      </c>
      <c r="AV42" s="65">
        <v>0</v>
      </c>
      <c r="AW42" s="65">
        <v>0</v>
      </c>
      <c r="AX42" s="65">
        <v>151.25</v>
      </c>
      <c r="AY42" s="65">
        <v>158.69999999999999</v>
      </c>
      <c r="AZ42" s="65">
        <v>0</v>
      </c>
      <c r="BA42" s="65">
        <v>0</v>
      </c>
      <c r="BB42" s="65">
        <v>305</v>
      </c>
      <c r="BC42" s="65">
        <v>305</v>
      </c>
      <c r="BD42" s="65">
        <v>0</v>
      </c>
      <c r="BE42" s="65">
        <v>0</v>
      </c>
      <c r="BF42" s="65">
        <v>0</v>
      </c>
      <c r="BG42" s="65">
        <v>0</v>
      </c>
      <c r="BH42" s="65">
        <v>128.5</v>
      </c>
      <c r="BI42" s="65">
        <v>245</v>
      </c>
      <c r="BJ42" s="65">
        <v>535.20000000000005</v>
      </c>
      <c r="BK42" s="65">
        <v>305</v>
      </c>
      <c r="BL42" s="65">
        <v>376</v>
      </c>
      <c r="BM42" s="65">
        <v>353</v>
      </c>
      <c r="BN42" s="65">
        <v>0</v>
      </c>
      <c r="BO42" s="65">
        <v>0</v>
      </c>
      <c r="BP42" s="65">
        <v>0</v>
      </c>
      <c r="BQ42" s="65">
        <v>265.89999999999998</v>
      </c>
      <c r="BR42" s="65">
        <v>239.1</v>
      </c>
      <c r="BS42" s="65">
        <v>347.35</v>
      </c>
      <c r="BT42" s="65">
        <v>0</v>
      </c>
      <c r="BU42" s="65">
        <v>0</v>
      </c>
      <c r="BV42" s="65">
        <v>1244.83</v>
      </c>
      <c r="BW42" s="65">
        <v>1185.55</v>
      </c>
      <c r="BX42" s="65">
        <v>0</v>
      </c>
      <c r="BY42" s="65">
        <v>0</v>
      </c>
      <c r="BZ42" s="65">
        <v>185.83333333333334</v>
      </c>
      <c r="CA42" s="65">
        <v>281</v>
      </c>
      <c r="CB42" s="65">
        <v>0</v>
      </c>
      <c r="CC42" s="65">
        <v>0</v>
      </c>
      <c r="CD42" s="65">
        <v>78.8</v>
      </c>
      <c r="CE42" s="65">
        <v>327.3</v>
      </c>
      <c r="CF42" s="66">
        <v>0</v>
      </c>
      <c r="CG42" s="47">
        <v>33</v>
      </c>
    </row>
    <row r="43" spans="1:85">
      <c r="A43" s="51">
        <f t="shared" ref="A43:A74" si="4">A42-B43</f>
        <v>175.3</v>
      </c>
      <c r="B43" s="64">
        <v>1</v>
      </c>
      <c r="C43" s="65">
        <v>0</v>
      </c>
      <c r="D43" s="65">
        <v>0</v>
      </c>
      <c r="E43" s="65">
        <v>0</v>
      </c>
      <c r="F43" s="65">
        <v>0</v>
      </c>
      <c r="G43" s="65">
        <v>0</v>
      </c>
      <c r="H43" s="65">
        <v>0</v>
      </c>
      <c r="I43" s="65">
        <v>21</v>
      </c>
      <c r="J43" s="65">
        <v>40.4</v>
      </c>
      <c r="K43" s="65">
        <v>85.6</v>
      </c>
      <c r="L43" s="65">
        <v>85.6</v>
      </c>
      <c r="M43" s="65">
        <v>86.8</v>
      </c>
      <c r="N43" s="65">
        <v>121.6</v>
      </c>
      <c r="O43" s="65">
        <v>173.9</v>
      </c>
      <c r="P43" s="65">
        <v>167</v>
      </c>
      <c r="Q43" s="65">
        <v>167</v>
      </c>
      <c r="R43" s="65">
        <v>152.9</v>
      </c>
      <c r="S43" s="65">
        <v>146.30000000000001</v>
      </c>
      <c r="T43" s="65">
        <v>182.6</v>
      </c>
      <c r="U43" s="65">
        <v>183.9</v>
      </c>
      <c r="V43" s="65">
        <v>183.9</v>
      </c>
      <c r="W43" s="65">
        <v>187</v>
      </c>
      <c r="X43" s="65">
        <v>263</v>
      </c>
      <c r="Y43" s="65">
        <v>255</v>
      </c>
      <c r="Z43" s="65">
        <v>253</v>
      </c>
      <c r="AA43" s="65">
        <v>482</v>
      </c>
      <c r="AB43" s="65">
        <v>419</v>
      </c>
      <c r="AC43" s="65">
        <v>374</v>
      </c>
      <c r="AD43" s="65">
        <v>421</v>
      </c>
      <c r="AE43" s="65">
        <v>419</v>
      </c>
      <c r="AF43" s="65">
        <v>389</v>
      </c>
      <c r="AG43" s="65">
        <v>483</v>
      </c>
      <c r="AH43" s="65">
        <v>646</v>
      </c>
      <c r="AI43" s="65">
        <v>648</v>
      </c>
      <c r="AJ43" s="65">
        <v>836</v>
      </c>
      <c r="AK43" s="65">
        <v>559</v>
      </c>
      <c r="AL43" s="65">
        <v>559</v>
      </c>
      <c r="AM43" s="65">
        <v>898</v>
      </c>
      <c r="AN43" s="65">
        <v>607</v>
      </c>
      <c r="AO43" s="65">
        <v>688</v>
      </c>
      <c r="AP43" s="65">
        <v>770</v>
      </c>
      <c r="AQ43" s="65">
        <v>744</v>
      </c>
      <c r="AR43" s="65">
        <v>0</v>
      </c>
      <c r="AS43" s="65">
        <v>0</v>
      </c>
      <c r="AT43" s="65">
        <v>0</v>
      </c>
      <c r="AU43" s="65">
        <v>91.2</v>
      </c>
      <c r="AV43" s="65">
        <v>0</v>
      </c>
      <c r="AW43" s="65">
        <v>0</v>
      </c>
      <c r="AX43" s="65">
        <v>143.25</v>
      </c>
      <c r="AY43" s="65">
        <v>151.25</v>
      </c>
      <c r="AZ43" s="65">
        <v>0</v>
      </c>
      <c r="BA43" s="65">
        <v>0</v>
      </c>
      <c r="BB43" s="65">
        <v>290</v>
      </c>
      <c r="BC43" s="65">
        <v>290</v>
      </c>
      <c r="BD43" s="65">
        <v>0</v>
      </c>
      <c r="BE43" s="65">
        <v>0</v>
      </c>
      <c r="BF43" s="65">
        <v>0</v>
      </c>
      <c r="BG43" s="65">
        <v>0</v>
      </c>
      <c r="BH43" s="65">
        <v>120.23333333333335</v>
      </c>
      <c r="BI43" s="65">
        <v>225.23333333333335</v>
      </c>
      <c r="BJ43" s="65">
        <v>505.15</v>
      </c>
      <c r="BK43" s="65">
        <v>290</v>
      </c>
      <c r="BL43" s="65">
        <v>372</v>
      </c>
      <c r="BM43" s="65">
        <v>340</v>
      </c>
      <c r="BN43" s="65">
        <v>0</v>
      </c>
      <c r="BO43" s="65">
        <v>0</v>
      </c>
      <c r="BP43" s="65">
        <v>0</v>
      </c>
      <c r="BQ43" s="65">
        <v>259.60000000000002</v>
      </c>
      <c r="BR43" s="65">
        <v>236.2</v>
      </c>
      <c r="BS43" s="65">
        <v>341.65</v>
      </c>
      <c r="BT43" s="65">
        <v>0</v>
      </c>
      <c r="BU43" s="65">
        <v>0</v>
      </c>
      <c r="BV43" s="65">
        <v>1232.6300000000001</v>
      </c>
      <c r="BW43" s="65">
        <v>1173.93</v>
      </c>
      <c r="BX43" s="65">
        <v>0</v>
      </c>
      <c r="BY43" s="65">
        <v>0</v>
      </c>
      <c r="BZ43" s="65">
        <v>161.93333333333331</v>
      </c>
      <c r="CA43" s="65">
        <v>274</v>
      </c>
      <c r="CB43" s="65">
        <v>0</v>
      </c>
      <c r="CC43" s="65">
        <v>0</v>
      </c>
      <c r="CD43" s="65">
        <v>76.75</v>
      </c>
      <c r="CE43" s="65">
        <v>322.64999999999998</v>
      </c>
      <c r="CF43" s="66">
        <v>0</v>
      </c>
      <c r="CG43" s="47">
        <v>34</v>
      </c>
    </row>
    <row r="44" spans="1:85">
      <c r="A44" s="51">
        <f t="shared" si="4"/>
        <v>174.3</v>
      </c>
      <c r="B44" s="64">
        <v>1</v>
      </c>
      <c r="C44" s="65">
        <v>0</v>
      </c>
      <c r="D44" s="65">
        <v>0</v>
      </c>
      <c r="E44" s="65">
        <v>0</v>
      </c>
      <c r="F44" s="65">
        <v>0</v>
      </c>
      <c r="G44" s="65">
        <v>0</v>
      </c>
      <c r="H44" s="65">
        <v>0</v>
      </c>
      <c r="I44" s="65">
        <v>0</v>
      </c>
      <c r="J44" s="65">
        <v>21</v>
      </c>
      <c r="K44" s="65">
        <v>68.099999999999994</v>
      </c>
      <c r="L44" s="65">
        <v>68.099999999999994</v>
      </c>
      <c r="M44" s="65">
        <v>79.599999999999994</v>
      </c>
      <c r="N44" s="65">
        <v>112.7</v>
      </c>
      <c r="O44" s="65">
        <v>161</v>
      </c>
      <c r="P44" s="65">
        <v>155.69999999999999</v>
      </c>
      <c r="Q44" s="65">
        <v>155.69999999999999</v>
      </c>
      <c r="R44" s="65">
        <v>142.5</v>
      </c>
      <c r="S44" s="65">
        <v>134.30000000000001</v>
      </c>
      <c r="T44" s="65">
        <v>165.8</v>
      </c>
      <c r="U44" s="65">
        <v>164.4</v>
      </c>
      <c r="V44" s="65">
        <v>164.4</v>
      </c>
      <c r="W44" s="65">
        <v>172</v>
      </c>
      <c r="X44" s="65">
        <v>244</v>
      </c>
      <c r="Y44" s="65">
        <v>233</v>
      </c>
      <c r="Z44" s="65">
        <v>233</v>
      </c>
      <c r="AA44" s="65">
        <v>476</v>
      </c>
      <c r="AB44" s="65">
        <v>411</v>
      </c>
      <c r="AC44" s="65">
        <v>364</v>
      </c>
      <c r="AD44" s="65">
        <v>373</v>
      </c>
      <c r="AE44" s="65">
        <v>374</v>
      </c>
      <c r="AF44" s="65">
        <v>347</v>
      </c>
      <c r="AG44" s="65">
        <v>425</v>
      </c>
      <c r="AH44" s="65">
        <v>580</v>
      </c>
      <c r="AI44" s="65">
        <v>586</v>
      </c>
      <c r="AJ44" s="65">
        <v>754</v>
      </c>
      <c r="AK44" s="65">
        <v>497</v>
      </c>
      <c r="AL44" s="65">
        <v>497</v>
      </c>
      <c r="AM44" s="65">
        <v>781</v>
      </c>
      <c r="AN44" s="65">
        <v>566</v>
      </c>
      <c r="AO44" s="65">
        <v>621</v>
      </c>
      <c r="AP44" s="65">
        <v>695</v>
      </c>
      <c r="AQ44" s="65">
        <v>663</v>
      </c>
      <c r="AR44" s="65">
        <v>0</v>
      </c>
      <c r="AS44" s="65">
        <v>0</v>
      </c>
      <c r="AT44" s="65">
        <v>0</v>
      </c>
      <c r="AU44" s="65">
        <v>85.4</v>
      </c>
      <c r="AV44" s="65">
        <v>0</v>
      </c>
      <c r="AW44" s="65">
        <v>0</v>
      </c>
      <c r="AX44" s="65">
        <v>121</v>
      </c>
      <c r="AY44" s="65">
        <v>143.25</v>
      </c>
      <c r="AZ44" s="65">
        <v>0</v>
      </c>
      <c r="BA44" s="65">
        <v>0</v>
      </c>
      <c r="BB44" s="65">
        <v>270</v>
      </c>
      <c r="BC44" s="65">
        <v>270</v>
      </c>
      <c r="BD44" s="65">
        <v>0</v>
      </c>
      <c r="BE44" s="65">
        <v>0</v>
      </c>
      <c r="BF44" s="65">
        <v>0</v>
      </c>
      <c r="BG44" s="65">
        <v>0</v>
      </c>
      <c r="BH44" s="65">
        <v>108.2</v>
      </c>
      <c r="BI44" s="65">
        <v>201.53333333333333</v>
      </c>
      <c r="BJ44" s="65">
        <v>478.55</v>
      </c>
      <c r="BK44" s="65">
        <v>270</v>
      </c>
      <c r="BL44" s="65">
        <v>368</v>
      </c>
      <c r="BM44" s="65">
        <v>327</v>
      </c>
      <c r="BN44" s="65">
        <v>0</v>
      </c>
      <c r="BO44" s="65">
        <v>0</v>
      </c>
      <c r="BP44" s="65">
        <v>0</v>
      </c>
      <c r="BQ44" s="65">
        <v>253.2</v>
      </c>
      <c r="BR44" s="65">
        <v>233.2</v>
      </c>
      <c r="BS44" s="65">
        <v>336.1</v>
      </c>
      <c r="BT44" s="65">
        <v>0</v>
      </c>
      <c r="BU44" s="65">
        <v>0</v>
      </c>
      <c r="BV44" s="65">
        <v>1218.9000000000001</v>
      </c>
      <c r="BW44" s="65">
        <v>1160.8599999999999</v>
      </c>
      <c r="BX44" s="65">
        <v>0</v>
      </c>
      <c r="BY44" s="65">
        <v>0</v>
      </c>
      <c r="BZ44" s="65">
        <v>149.96666666666667</v>
      </c>
      <c r="CA44" s="65">
        <v>266</v>
      </c>
      <c r="CB44" s="65">
        <v>0</v>
      </c>
      <c r="CC44" s="65">
        <v>0</v>
      </c>
      <c r="CD44" s="65">
        <v>74.650000000000006</v>
      </c>
      <c r="CE44" s="65">
        <v>318.05</v>
      </c>
      <c r="CF44" s="66">
        <v>0</v>
      </c>
      <c r="CG44" s="47">
        <v>35</v>
      </c>
    </row>
    <row r="45" spans="1:85">
      <c r="A45" s="51">
        <f t="shared" si="4"/>
        <v>173.3</v>
      </c>
      <c r="B45" s="64">
        <v>1</v>
      </c>
      <c r="C45" s="65">
        <v>0</v>
      </c>
      <c r="D45" s="65">
        <v>0</v>
      </c>
      <c r="E45" s="65">
        <v>0</v>
      </c>
      <c r="F45" s="65">
        <v>0</v>
      </c>
      <c r="G45" s="65">
        <v>0</v>
      </c>
      <c r="H45" s="65">
        <v>0</v>
      </c>
      <c r="I45" s="65">
        <v>0</v>
      </c>
      <c r="J45" s="65">
        <v>21</v>
      </c>
      <c r="K45" s="65">
        <v>54.3</v>
      </c>
      <c r="L45" s="65">
        <v>54.3</v>
      </c>
      <c r="M45" s="65">
        <v>62.3</v>
      </c>
      <c r="N45" s="65">
        <v>92.4</v>
      </c>
      <c r="O45" s="65">
        <v>142.9</v>
      </c>
      <c r="P45" s="65">
        <v>139</v>
      </c>
      <c r="Q45" s="65">
        <v>139</v>
      </c>
      <c r="R45" s="65">
        <v>129.30000000000001</v>
      </c>
      <c r="S45" s="65">
        <v>123.5</v>
      </c>
      <c r="T45" s="65">
        <v>145.4</v>
      </c>
      <c r="U45" s="65">
        <v>142.4</v>
      </c>
      <c r="V45" s="65">
        <v>142.4</v>
      </c>
      <c r="W45" s="65">
        <v>148</v>
      </c>
      <c r="X45" s="65">
        <v>211</v>
      </c>
      <c r="Y45" s="65">
        <v>203</v>
      </c>
      <c r="Z45" s="65">
        <v>219</v>
      </c>
      <c r="AA45" s="65">
        <v>468</v>
      </c>
      <c r="AB45" s="65">
        <v>402</v>
      </c>
      <c r="AC45" s="65">
        <v>355</v>
      </c>
      <c r="AD45" s="65">
        <v>365</v>
      </c>
      <c r="AE45" s="65">
        <v>365</v>
      </c>
      <c r="AF45" s="65">
        <v>340</v>
      </c>
      <c r="AG45" s="65">
        <v>417</v>
      </c>
      <c r="AH45" s="65">
        <v>575</v>
      </c>
      <c r="AI45" s="65">
        <v>582</v>
      </c>
      <c r="AJ45" s="65">
        <v>746</v>
      </c>
      <c r="AK45" s="65">
        <v>482</v>
      </c>
      <c r="AL45" s="65">
        <v>482</v>
      </c>
      <c r="AM45" s="65">
        <v>756</v>
      </c>
      <c r="AN45" s="65">
        <v>565</v>
      </c>
      <c r="AO45" s="65">
        <v>619</v>
      </c>
      <c r="AP45" s="65">
        <v>692</v>
      </c>
      <c r="AQ45" s="65">
        <v>646</v>
      </c>
      <c r="AR45" s="65">
        <v>0</v>
      </c>
      <c r="AS45" s="65">
        <v>0</v>
      </c>
      <c r="AT45" s="65">
        <v>0</v>
      </c>
      <c r="AU45" s="65">
        <v>73.7</v>
      </c>
      <c r="AV45" s="65">
        <v>0</v>
      </c>
      <c r="AW45" s="65">
        <v>0</v>
      </c>
      <c r="AX45" s="65">
        <v>89.300000000000011</v>
      </c>
      <c r="AY45" s="65">
        <v>121</v>
      </c>
      <c r="AZ45" s="65">
        <v>0</v>
      </c>
      <c r="BA45" s="65">
        <v>0</v>
      </c>
      <c r="BB45" s="65">
        <v>244</v>
      </c>
      <c r="BC45" s="65">
        <v>244</v>
      </c>
      <c r="BD45" s="65">
        <v>0</v>
      </c>
      <c r="BE45" s="65">
        <v>0</v>
      </c>
      <c r="BF45" s="65">
        <v>0</v>
      </c>
      <c r="BG45" s="65">
        <v>0</v>
      </c>
      <c r="BH45" s="65">
        <v>95.7</v>
      </c>
      <c r="BI45" s="65">
        <v>184.53333333333333</v>
      </c>
      <c r="BJ45" s="65">
        <v>456.1</v>
      </c>
      <c r="BK45" s="65">
        <v>244</v>
      </c>
      <c r="BL45" s="65">
        <v>363</v>
      </c>
      <c r="BM45" s="65">
        <v>315</v>
      </c>
      <c r="BN45" s="65">
        <v>0</v>
      </c>
      <c r="BO45" s="65">
        <v>0</v>
      </c>
      <c r="BP45" s="65">
        <v>0</v>
      </c>
      <c r="BQ45" s="65">
        <v>246.8</v>
      </c>
      <c r="BR45" s="65">
        <v>230</v>
      </c>
      <c r="BS45" s="65">
        <v>331.9</v>
      </c>
      <c r="BT45" s="65">
        <v>0</v>
      </c>
      <c r="BU45" s="65">
        <v>0</v>
      </c>
      <c r="BV45" s="65">
        <v>1205.49</v>
      </c>
      <c r="BW45" s="65">
        <v>1148.0899999999999</v>
      </c>
      <c r="BX45" s="65">
        <v>0</v>
      </c>
      <c r="BY45" s="65">
        <v>0</v>
      </c>
      <c r="BZ45" s="65">
        <v>135.46666666666667</v>
      </c>
      <c r="CA45" s="65">
        <v>258</v>
      </c>
      <c r="CB45" s="65">
        <v>0</v>
      </c>
      <c r="CC45" s="65">
        <v>0</v>
      </c>
      <c r="CD45" s="65">
        <v>72.55</v>
      </c>
      <c r="CE45" s="65">
        <v>313.39999999999998</v>
      </c>
      <c r="CF45" s="66">
        <v>0</v>
      </c>
      <c r="CG45" s="47">
        <v>36</v>
      </c>
    </row>
    <row r="46" spans="1:85">
      <c r="A46" s="51">
        <f t="shared" si="4"/>
        <v>172.3</v>
      </c>
      <c r="B46" s="64">
        <v>1</v>
      </c>
      <c r="C46" s="65">
        <v>0</v>
      </c>
      <c r="D46" s="65">
        <v>0</v>
      </c>
      <c r="E46" s="65">
        <v>0</v>
      </c>
      <c r="F46" s="65">
        <v>0</v>
      </c>
      <c r="G46" s="65">
        <v>0</v>
      </c>
      <c r="H46" s="65">
        <v>0</v>
      </c>
      <c r="I46" s="65">
        <v>0</v>
      </c>
      <c r="J46" s="65">
        <v>21</v>
      </c>
      <c r="K46" s="65">
        <v>25.3</v>
      </c>
      <c r="L46" s="65">
        <v>25.3</v>
      </c>
      <c r="M46" s="65">
        <v>25.6</v>
      </c>
      <c r="N46" s="65">
        <v>51.5</v>
      </c>
      <c r="O46" s="65">
        <v>134.1</v>
      </c>
      <c r="P46" s="65">
        <v>132</v>
      </c>
      <c r="Q46" s="65">
        <v>132</v>
      </c>
      <c r="R46" s="65">
        <v>120.4</v>
      </c>
      <c r="S46" s="65">
        <v>107.9</v>
      </c>
      <c r="T46" s="65">
        <v>118.5</v>
      </c>
      <c r="U46" s="65">
        <v>109.9</v>
      </c>
      <c r="V46" s="65">
        <v>109.9</v>
      </c>
      <c r="W46" s="65">
        <v>110</v>
      </c>
      <c r="X46" s="65">
        <v>182</v>
      </c>
      <c r="Y46" s="65">
        <v>170</v>
      </c>
      <c r="Z46" s="65">
        <v>204</v>
      </c>
      <c r="AA46" s="65">
        <v>463</v>
      </c>
      <c r="AB46" s="65">
        <v>395</v>
      </c>
      <c r="AC46" s="65">
        <v>344</v>
      </c>
      <c r="AD46" s="65">
        <v>354</v>
      </c>
      <c r="AE46" s="65">
        <v>354</v>
      </c>
      <c r="AF46" s="65">
        <v>331</v>
      </c>
      <c r="AG46" s="65">
        <v>407</v>
      </c>
      <c r="AH46" s="65">
        <v>570</v>
      </c>
      <c r="AI46" s="65">
        <v>578</v>
      </c>
      <c r="AJ46" s="65">
        <v>739</v>
      </c>
      <c r="AK46" s="65">
        <v>474</v>
      </c>
      <c r="AL46" s="65">
        <v>474</v>
      </c>
      <c r="AM46" s="65">
        <v>705</v>
      </c>
      <c r="AN46" s="65">
        <v>563</v>
      </c>
      <c r="AO46" s="65">
        <v>616</v>
      </c>
      <c r="AP46" s="65">
        <v>688</v>
      </c>
      <c r="AQ46" s="65">
        <v>635</v>
      </c>
      <c r="AR46" s="65">
        <v>0</v>
      </c>
      <c r="AS46" s="65">
        <v>0</v>
      </c>
      <c r="AT46" s="65">
        <v>0</v>
      </c>
      <c r="AU46" s="65">
        <v>39.799999999999997</v>
      </c>
      <c r="AV46" s="65">
        <v>0</v>
      </c>
      <c r="AW46" s="65">
        <v>0</v>
      </c>
      <c r="AX46" s="65">
        <v>64.5</v>
      </c>
      <c r="AY46" s="65">
        <v>89.300000000000011</v>
      </c>
      <c r="AZ46" s="65">
        <v>0</v>
      </c>
      <c r="BA46" s="65">
        <v>0</v>
      </c>
      <c r="BB46" s="65">
        <v>230</v>
      </c>
      <c r="BC46" s="65">
        <v>230</v>
      </c>
      <c r="BD46" s="65">
        <v>0</v>
      </c>
      <c r="BE46" s="65">
        <v>0</v>
      </c>
      <c r="BF46" s="65">
        <v>0</v>
      </c>
      <c r="BG46" s="65">
        <v>0</v>
      </c>
      <c r="BH46" s="65">
        <v>85.033333333333331</v>
      </c>
      <c r="BI46" s="65">
        <v>168.9</v>
      </c>
      <c r="BJ46" s="65">
        <v>433.1</v>
      </c>
      <c r="BK46" s="65">
        <v>230</v>
      </c>
      <c r="BL46" s="65">
        <v>357</v>
      </c>
      <c r="BM46" s="65">
        <v>290</v>
      </c>
      <c r="BN46" s="65">
        <v>0</v>
      </c>
      <c r="BO46" s="65">
        <v>0</v>
      </c>
      <c r="BP46" s="65">
        <v>0</v>
      </c>
      <c r="BQ46" s="65">
        <v>239.2</v>
      </c>
      <c r="BR46" s="65">
        <v>226.7</v>
      </c>
      <c r="BS46" s="65">
        <v>327.95</v>
      </c>
      <c r="BT46" s="65">
        <v>0</v>
      </c>
      <c r="BU46" s="65">
        <v>0</v>
      </c>
      <c r="BV46" s="65">
        <v>1192.6400000000001</v>
      </c>
      <c r="BW46" s="65">
        <v>1135.8499999999999</v>
      </c>
      <c r="BX46" s="65">
        <v>0</v>
      </c>
      <c r="BY46" s="65">
        <v>0</v>
      </c>
      <c r="BZ46" s="65">
        <v>127.8</v>
      </c>
      <c r="CA46" s="65">
        <v>249</v>
      </c>
      <c r="CB46" s="65">
        <v>0</v>
      </c>
      <c r="CC46" s="65">
        <v>0</v>
      </c>
      <c r="CD46" s="65">
        <v>70.05</v>
      </c>
      <c r="CE46" s="65">
        <v>308.10000000000002</v>
      </c>
      <c r="CF46" s="66">
        <v>0</v>
      </c>
      <c r="CG46" s="47">
        <v>37</v>
      </c>
    </row>
    <row r="47" spans="1:85">
      <c r="A47" s="51">
        <f t="shared" si="4"/>
        <v>171.3</v>
      </c>
      <c r="B47" s="64">
        <v>1</v>
      </c>
      <c r="C47" s="65">
        <v>0</v>
      </c>
      <c r="D47" s="65">
        <v>0</v>
      </c>
      <c r="E47" s="65">
        <v>0</v>
      </c>
      <c r="F47" s="65">
        <v>0</v>
      </c>
      <c r="G47" s="65">
        <v>0</v>
      </c>
      <c r="H47" s="65">
        <v>0</v>
      </c>
      <c r="I47" s="65">
        <v>0</v>
      </c>
      <c r="J47" s="65">
        <v>0</v>
      </c>
      <c r="K47" s="65">
        <v>21</v>
      </c>
      <c r="L47" s="65">
        <v>21</v>
      </c>
      <c r="M47" s="65">
        <v>21</v>
      </c>
      <c r="N47" s="65">
        <v>44.3</v>
      </c>
      <c r="O47" s="65">
        <v>123.3</v>
      </c>
      <c r="P47" s="65">
        <v>124.3</v>
      </c>
      <c r="Q47" s="65">
        <v>124.3</v>
      </c>
      <c r="R47" s="65">
        <v>114.6</v>
      </c>
      <c r="S47" s="65">
        <v>100.6</v>
      </c>
      <c r="T47" s="65">
        <v>106.9</v>
      </c>
      <c r="U47" s="65">
        <v>91.5</v>
      </c>
      <c r="V47" s="65">
        <v>91.5</v>
      </c>
      <c r="W47" s="65">
        <v>84.4</v>
      </c>
      <c r="X47" s="65">
        <v>152.30000000000001</v>
      </c>
      <c r="Y47" s="65">
        <v>143.30000000000001</v>
      </c>
      <c r="Z47" s="65">
        <v>176.5</v>
      </c>
      <c r="AA47" s="65">
        <v>418.9</v>
      </c>
      <c r="AB47" s="65">
        <v>352.4</v>
      </c>
      <c r="AC47" s="65">
        <v>304.5</v>
      </c>
      <c r="AD47" s="65">
        <v>307</v>
      </c>
      <c r="AE47" s="65">
        <v>298.16666666666669</v>
      </c>
      <c r="AF47" s="65">
        <v>293.5</v>
      </c>
      <c r="AG47" s="65">
        <v>359</v>
      </c>
      <c r="AH47" s="65">
        <v>511.4</v>
      </c>
      <c r="AI47" s="65">
        <v>522.9</v>
      </c>
      <c r="AJ47" s="65">
        <v>665.25</v>
      </c>
      <c r="AK47" s="65">
        <v>423.8</v>
      </c>
      <c r="AL47" s="65">
        <v>423.8</v>
      </c>
      <c r="AM47" s="65">
        <v>577.35</v>
      </c>
      <c r="AN47" s="65">
        <v>510.5</v>
      </c>
      <c r="AO47" s="65">
        <v>558</v>
      </c>
      <c r="AP47" s="65">
        <v>621.5</v>
      </c>
      <c r="AQ47" s="65">
        <v>567.1</v>
      </c>
      <c r="AR47" s="65">
        <v>0</v>
      </c>
      <c r="AS47" s="65">
        <v>0</v>
      </c>
      <c r="AT47" s="65">
        <v>0</v>
      </c>
      <c r="AU47" s="65">
        <v>29.8</v>
      </c>
      <c r="AV47" s="65">
        <v>0</v>
      </c>
      <c r="AW47" s="65">
        <v>0</v>
      </c>
      <c r="AX47" s="65">
        <v>30.35</v>
      </c>
      <c r="AY47" s="65">
        <v>64.5</v>
      </c>
      <c r="AZ47" s="65">
        <v>0</v>
      </c>
      <c r="BA47" s="65">
        <v>0</v>
      </c>
      <c r="BB47" s="65">
        <v>190.39999999999998</v>
      </c>
      <c r="BC47" s="65">
        <v>190.39999999999998</v>
      </c>
      <c r="BD47" s="65">
        <v>0</v>
      </c>
      <c r="BE47" s="65">
        <v>0</v>
      </c>
      <c r="BF47" s="65">
        <v>0</v>
      </c>
      <c r="BG47" s="65">
        <v>0</v>
      </c>
      <c r="BH47" s="65">
        <v>73.266666666666666</v>
      </c>
      <c r="BI47" s="65">
        <v>153.36666666666667</v>
      </c>
      <c r="BJ47" s="65">
        <v>411.29999999999995</v>
      </c>
      <c r="BK47" s="65">
        <v>190.39999999999998</v>
      </c>
      <c r="BL47" s="65">
        <v>318.7</v>
      </c>
      <c r="BM47" s="65">
        <v>250.4</v>
      </c>
      <c r="BN47" s="65">
        <v>0</v>
      </c>
      <c r="BO47" s="65">
        <v>0</v>
      </c>
      <c r="BP47" s="65">
        <v>0</v>
      </c>
      <c r="BQ47" s="65">
        <v>229.3</v>
      </c>
      <c r="BR47" s="65">
        <v>223.4</v>
      </c>
      <c r="BS47" s="65">
        <v>323.8</v>
      </c>
      <c r="BT47" s="65">
        <v>0</v>
      </c>
      <c r="BU47" s="65">
        <v>0</v>
      </c>
      <c r="BV47" s="65">
        <v>1176.96</v>
      </c>
      <c r="BW47" s="65">
        <v>1120.92</v>
      </c>
      <c r="BX47" s="65">
        <v>0</v>
      </c>
      <c r="BY47" s="65">
        <v>0</v>
      </c>
      <c r="BZ47" s="65">
        <v>119.8</v>
      </c>
      <c r="CA47" s="65">
        <v>219.7</v>
      </c>
      <c r="CB47" s="65">
        <v>0</v>
      </c>
      <c r="CC47" s="65">
        <v>0</v>
      </c>
      <c r="CD47" s="65">
        <v>65.400000000000006</v>
      </c>
      <c r="CE47" s="65">
        <v>302.14999999999998</v>
      </c>
      <c r="CF47" s="66">
        <v>0</v>
      </c>
      <c r="CG47" s="47">
        <v>38</v>
      </c>
    </row>
    <row r="48" spans="1:85">
      <c r="A48" s="51">
        <f t="shared" si="4"/>
        <v>170.3</v>
      </c>
      <c r="B48" s="64">
        <v>1</v>
      </c>
      <c r="C48" s="65">
        <v>0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32.1</v>
      </c>
      <c r="O48" s="65">
        <v>108.4</v>
      </c>
      <c r="P48" s="65">
        <v>114.7</v>
      </c>
      <c r="Q48" s="65">
        <v>114.7</v>
      </c>
      <c r="R48" s="65">
        <v>109.3</v>
      </c>
      <c r="S48" s="65">
        <v>95.3</v>
      </c>
      <c r="T48" s="65">
        <v>99.3</v>
      </c>
      <c r="U48" s="65">
        <v>84.7</v>
      </c>
      <c r="V48" s="65">
        <v>84.7</v>
      </c>
      <c r="W48" s="65">
        <v>79.2</v>
      </c>
      <c r="X48" s="65">
        <v>145.30000000000001</v>
      </c>
      <c r="Y48" s="65">
        <v>136.80000000000001</v>
      </c>
      <c r="Z48" s="65">
        <v>170.5</v>
      </c>
      <c r="AA48" s="65">
        <v>411.3</v>
      </c>
      <c r="AB48" s="65">
        <v>337.1</v>
      </c>
      <c r="AC48" s="65">
        <v>274.2</v>
      </c>
      <c r="AD48" s="65">
        <v>256.60000000000002</v>
      </c>
      <c r="AE48" s="65">
        <v>286.73333333333335</v>
      </c>
      <c r="AF48" s="65">
        <v>285.8</v>
      </c>
      <c r="AG48" s="65">
        <v>337.4</v>
      </c>
      <c r="AH48" s="65">
        <v>500</v>
      </c>
      <c r="AI48" s="65">
        <v>519.9</v>
      </c>
      <c r="AJ48" s="65">
        <v>656.3</v>
      </c>
      <c r="AK48" s="65">
        <v>416.2</v>
      </c>
      <c r="AL48" s="65">
        <v>416.2</v>
      </c>
      <c r="AM48" s="65">
        <v>499.6</v>
      </c>
      <c r="AN48" s="65">
        <v>508.7</v>
      </c>
      <c r="AO48" s="65">
        <v>555</v>
      </c>
      <c r="AP48" s="65">
        <v>617.5</v>
      </c>
      <c r="AQ48" s="65">
        <v>557</v>
      </c>
      <c r="AR48" s="65">
        <v>0</v>
      </c>
      <c r="AS48" s="65">
        <v>0</v>
      </c>
      <c r="AT48" s="65">
        <v>0</v>
      </c>
      <c r="AU48" s="65">
        <v>14.7</v>
      </c>
      <c r="AV48" s="65">
        <v>0</v>
      </c>
      <c r="AW48" s="65">
        <v>0</v>
      </c>
      <c r="AX48" s="65">
        <v>21</v>
      </c>
      <c r="AY48" s="65">
        <v>30.35</v>
      </c>
      <c r="AZ48" s="65">
        <v>0</v>
      </c>
      <c r="BA48" s="65">
        <v>0</v>
      </c>
      <c r="BB48" s="65">
        <v>173.25</v>
      </c>
      <c r="BC48" s="65">
        <v>173.25</v>
      </c>
      <c r="BD48" s="65">
        <v>0</v>
      </c>
      <c r="BE48" s="65">
        <v>0</v>
      </c>
      <c r="BF48" s="65">
        <v>0</v>
      </c>
      <c r="BG48" s="65">
        <v>0</v>
      </c>
      <c r="BH48" s="65">
        <v>43.866666666666674</v>
      </c>
      <c r="BI48" s="65">
        <v>119.23333333333335</v>
      </c>
      <c r="BJ48" s="65">
        <v>359</v>
      </c>
      <c r="BK48" s="65">
        <v>173.25</v>
      </c>
      <c r="BL48" s="65">
        <v>314.7</v>
      </c>
      <c r="BM48" s="65">
        <v>242</v>
      </c>
      <c r="BN48" s="65">
        <v>0</v>
      </c>
      <c r="BO48" s="65">
        <v>0</v>
      </c>
      <c r="BP48" s="65">
        <v>0</v>
      </c>
      <c r="BQ48" s="65">
        <v>213.9</v>
      </c>
      <c r="BR48" s="65">
        <v>220.3</v>
      </c>
      <c r="BS48" s="65">
        <v>319.60000000000002</v>
      </c>
      <c r="BT48" s="65">
        <v>0</v>
      </c>
      <c r="BU48" s="65">
        <v>0</v>
      </c>
      <c r="BV48" s="65">
        <v>1163.0999999999999</v>
      </c>
      <c r="BW48" s="65">
        <v>1107.71</v>
      </c>
      <c r="BX48" s="65">
        <v>0</v>
      </c>
      <c r="BY48" s="65">
        <v>0</v>
      </c>
      <c r="BZ48" s="65">
        <v>105.36666666666667</v>
      </c>
      <c r="CA48" s="65">
        <v>213.45</v>
      </c>
      <c r="CB48" s="65">
        <v>0</v>
      </c>
      <c r="CC48" s="65">
        <v>0</v>
      </c>
      <c r="CD48" s="65">
        <v>60.85</v>
      </c>
      <c r="CE48" s="65">
        <v>293.55</v>
      </c>
      <c r="CF48" s="66">
        <v>0</v>
      </c>
      <c r="CG48" s="47">
        <v>39</v>
      </c>
    </row>
    <row r="49" spans="1:85">
      <c r="A49" s="51">
        <f t="shared" si="4"/>
        <v>169.3</v>
      </c>
      <c r="B49" s="64">
        <v>1</v>
      </c>
      <c r="C49" s="65">
        <v>0</v>
      </c>
      <c r="D49" s="65">
        <v>0</v>
      </c>
      <c r="E49" s="65">
        <v>0</v>
      </c>
      <c r="F49" s="65">
        <v>0</v>
      </c>
      <c r="G49" s="65">
        <v>0</v>
      </c>
      <c r="H49" s="65">
        <v>0</v>
      </c>
      <c r="I49" s="65">
        <v>0</v>
      </c>
      <c r="J49" s="65">
        <v>0</v>
      </c>
      <c r="K49" s="65">
        <v>0</v>
      </c>
      <c r="L49" s="65">
        <v>0</v>
      </c>
      <c r="M49" s="65">
        <v>0</v>
      </c>
      <c r="N49" s="65">
        <v>21</v>
      </c>
      <c r="O49" s="65">
        <v>90.4</v>
      </c>
      <c r="P49" s="65">
        <v>104.1</v>
      </c>
      <c r="Q49" s="65">
        <v>104.1</v>
      </c>
      <c r="R49" s="65">
        <v>104.4</v>
      </c>
      <c r="S49" s="65">
        <v>90.6</v>
      </c>
      <c r="T49" s="65">
        <v>92.5</v>
      </c>
      <c r="U49" s="65">
        <v>78.2</v>
      </c>
      <c r="V49" s="65">
        <v>78.2</v>
      </c>
      <c r="W49" s="65">
        <v>74.900000000000006</v>
      </c>
      <c r="X49" s="65">
        <v>138.80000000000001</v>
      </c>
      <c r="Y49" s="65">
        <v>131.4</v>
      </c>
      <c r="Z49" s="65">
        <v>163.1</v>
      </c>
      <c r="AA49" s="65">
        <v>396.2</v>
      </c>
      <c r="AB49" s="65">
        <v>320.60000000000002</v>
      </c>
      <c r="AC49" s="65">
        <v>263.7</v>
      </c>
      <c r="AD49" s="65">
        <v>245.5</v>
      </c>
      <c r="AE49" s="65">
        <v>277.93333333333334</v>
      </c>
      <c r="AF49" s="65">
        <v>278</v>
      </c>
      <c r="AG49" s="65">
        <v>325.5</v>
      </c>
      <c r="AH49" s="65">
        <v>493.7</v>
      </c>
      <c r="AI49" s="65">
        <v>516.29999999999995</v>
      </c>
      <c r="AJ49" s="65">
        <v>645.9</v>
      </c>
      <c r="AK49" s="65">
        <v>409.8</v>
      </c>
      <c r="AL49" s="65">
        <v>409.8</v>
      </c>
      <c r="AM49" s="65">
        <v>457.79999999999995</v>
      </c>
      <c r="AN49" s="65">
        <v>506.6</v>
      </c>
      <c r="AO49" s="65">
        <v>554.9</v>
      </c>
      <c r="AP49" s="65">
        <v>612.6</v>
      </c>
      <c r="AQ49" s="65">
        <v>548.6</v>
      </c>
      <c r="AR49" s="65">
        <v>0</v>
      </c>
      <c r="AS49" s="65">
        <v>0</v>
      </c>
      <c r="AT49" s="65">
        <v>0</v>
      </c>
      <c r="AU49" s="65">
        <v>0</v>
      </c>
      <c r="AV49" s="65">
        <v>0</v>
      </c>
      <c r="AW49" s="65">
        <v>0</v>
      </c>
      <c r="AX49" s="65">
        <v>17.95</v>
      </c>
      <c r="AY49" s="65">
        <v>21</v>
      </c>
      <c r="AZ49" s="65">
        <v>0</v>
      </c>
      <c r="BA49" s="65">
        <v>0</v>
      </c>
      <c r="BB49" s="65">
        <v>165.35</v>
      </c>
      <c r="BC49" s="65">
        <v>165.35</v>
      </c>
      <c r="BD49" s="65">
        <v>0</v>
      </c>
      <c r="BE49" s="65">
        <v>0</v>
      </c>
      <c r="BF49" s="65">
        <v>0</v>
      </c>
      <c r="BG49" s="65">
        <v>0</v>
      </c>
      <c r="BH49" s="65">
        <v>27.066666666666666</v>
      </c>
      <c r="BI49" s="65">
        <v>96.8</v>
      </c>
      <c r="BJ49" s="65">
        <v>283.2</v>
      </c>
      <c r="BK49" s="65">
        <v>165.35</v>
      </c>
      <c r="BL49" s="65">
        <v>280.8</v>
      </c>
      <c r="BM49" s="65">
        <v>230.7</v>
      </c>
      <c r="BN49" s="65">
        <v>0</v>
      </c>
      <c r="BO49" s="65">
        <v>0</v>
      </c>
      <c r="BP49" s="65">
        <v>0</v>
      </c>
      <c r="BQ49" s="65">
        <v>192.6</v>
      </c>
      <c r="BR49" s="65">
        <v>217.6</v>
      </c>
      <c r="BS49" s="65">
        <v>315.35000000000002</v>
      </c>
      <c r="BT49" s="65">
        <v>0</v>
      </c>
      <c r="BU49" s="65">
        <v>0</v>
      </c>
      <c r="BV49" s="65">
        <v>1151.05</v>
      </c>
      <c r="BW49" s="65">
        <v>1096.24</v>
      </c>
      <c r="BX49" s="65">
        <v>0</v>
      </c>
      <c r="BY49" s="65">
        <v>0</v>
      </c>
      <c r="BZ49" s="65">
        <v>77</v>
      </c>
      <c r="CA49" s="65">
        <v>207.2</v>
      </c>
      <c r="CB49" s="65">
        <v>0</v>
      </c>
      <c r="CC49" s="65">
        <v>0</v>
      </c>
      <c r="CD49" s="65">
        <v>57.1</v>
      </c>
      <c r="CE49" s="65">
        <v>284.14999999999998</v>
      </c>
      <c r="CF49" s="66">
        <v>0</v>
      </c>
      <c r="CG49" s="47">
        <v>40</v>
      </c>
    </row>
    <row r="50" spans="1:85">
      <c r="A50" s="51">
        <f t="shared" si="4"/>
        <v>168.3</v>
      </c>
      <c r="B50" s="64">
        <v>1</v>
      </c>
      <c r="C50" s="65">
        <v>0</v>
      </c>
      <c r="D50" s="65">
        <v>0</v>
      </c>
      <c r="E50" s="65">
        <v>0</v>
      </c>
      <c r="F50" s="65">
        <v>0</v>
      </c>
      <c r="G50" s="65">
        <v>0</v>
      </c>
      <c r="H50" s="65">
        <v>0</v>
      </c>
      <c r="I50" s="65">
        <v>0</v>
      </c>
      <c r="J50" s="65">
        <v>0</v>
      </c>
      <c r="K50" s="65">
        <v>0</v>
      </c>
      <c r="L50" s="65">
        <v>0</v>
      </c>
      <c r="M50" s="65">
        <v>0</v>
      </c>
      <c r="N50" s="65">
        <v>0</v>
      </c>
      <c r="O50" s="65">
        <v>41.1</v>
      </c>
      <c r="P50" s="65">
        <v>60.6</v>
      </c>
      <c r="Q50" s="65">
        <v>60.6</v>
      </c>
      <c r="R50" s="65">
        <v>78.8</v>
      </c>
      <c r="S50" s="65">
        <v>84.2</v>
      </c>
      <c r="T50" s="65">
        <v>84.5</v>
      </c>
      <c r="U50" s="65">
        <v>73.2</v>
      </c>
      <c r="V50" s="65">
        <v>73.2</v>
      </c>
      <c r="W50" s="65">
        <v>66</v>
      </c>
      <c r="X50" s="65">
        <v>118.2</v>
      </c>
      <c r="Y50" s="65">
        <v>117.8</v>
      </c>
      <c r="Z50" s="65">
        <v>156.30000000000001</v>
      </c>
      <c r="AA50" s="65">
        <v>373.4</v>
      </c>
      <c r="AB50" s="65">
        <v>290.39999999999998</v>
      </c>
      <c r="AC50" s="65">
        <v>253.8</v>
      </c>
      <c r="AD50" s="65">
        <v>231.7</v>
      </c>
      <c r="AE50" s="65">
        <v>269.06666666666666</v>
      </c>
      <c r="AF50" s="65">
        <v>269.39999999999998</v>
      </c>
      <c r="AG50" s="65">
        <v>315</v>
      </c>
      <c r="AH50" s="65">
        <v>484.3</v>
      </c>
      <c r="AI50" s="65">
        <v>511.8</v>
      </c>
      <c r="AJ50" s="65">
        <v>640.04999999999995</v>
      </c>
      <c r="AK50" s="65">
        <v>401.2</v>
      </c>
      <c r="AL50" s="65">
        <v>401.2</v>
      </c>
      <c r="AM50" s="65">
        <v>435.2</v>
      </c>
      <c r="AN50" s="65">
        <v>504.4</v>
      </c>
      <c r="AO50" s="65">
        <v>549</v>
      </c>
      <c r="AP50" s="65">
        <v>603.20000000000005</v>
      </c>
      <c r="AQ50" s="65">
        <v>532.9</v>
      </c>
      <c r="AR50" s="65">
        <v>0</v>
      </c>
      <c r="AS50" s="65">
        <v>0</v>
      </c>
      <c r="AT50" s="65">
        <v>0</v>
      </c>
      <c r="AU50" s="65">
        <v>0</v>
      </c>
      <c r="AV50" s="65">
        <v>0</v>
      </c>
      <c r="AW50" s="65">
        <v>0</v>
      </c>
      <c r="AX50" s="65">
        <v>0</v>
      </c>
      <c r="AY50" s="65">
        <v>17.95</v>
      </c>
      <c r="AZ50" s="65">
        <v>0</v>
      </c>
      <c r="BA50" s="65">
        <v>0</v>
      </c>
      <c r="BB50" s="65">
        <v>157.85</v>
      </c>
      <c r="BC50" s="65">
        <v>157.85</v>
      </c>
      <c r="BD50" s="65">
        <v>0</v>
      </c>
      <c r="BE50" s="65">
        <v>0</v>
      </c>
      <c r="BF50" s="65">
        <v>0</v>
      </c>
      <c r="BG50" s="65">
        <v>0</v>
      </c>
      <c r="BH50" s="65">
        <v>20</v>
      </c>
      <c r="BI50" s="65">
        <v>85.13333333333334</v>
      </c>
      <c r="BJ50" s="65">
        <v>239.2</v>
      </c>
      <c r="BK50" s="65">
        <v>157.85</v>
      </c>
      <c r="BL50" s="65">
        <v>228.1</v>
      </c>
      <c r="BM50" s="65">
        <v>170.1</v>
      </c>
      <c r="BN50" s="65">
        <v>0</v>
      </c>
      <c r="BO50" s="65">
        <v>0</v>
      </c>
      <c r="BP50" s="65">
        <v>0</v>
      </c>
      <c r="BQ50" s="65">
        <v>96.9</v>
      </c>
      <c r="BR50" s="65">
        <v>215</v>
      </c>
      <c r="BS50" s="65">
        <v>310.64999999999998</v>
      </c>
      <c r="BT50" s="65">
        <v>0</v>
      </c>
      <c r="BU50" s="65">
        <v>0</v>
      </c>
      <c r="BV50" s="65">
        <v>1107.58</v>
      </c>
      <c r="BW50" s="65">
        <v>1054.83</v>
      </c>
      <c r="BX50" s="65">
        <v>0</v>
      </c>
      <c r="BY50" s="65">
        <v>0</v>
      </c>
      <c r="BZ50" s="65">
        <v>62</v>
      </c>
      <c r="CA50" s="65">
        <v>199.85</v>
      </c>
      <c r="CB50" s="65">
        <v>0</v>
      </c>
      <c r="CC50" s="65">
        <v>0</v>
      </c>
      <c r="CD50" s="65">
        <v>52.8</v>
      </c>
      <c r="CE50" s="65">
        <v>276.25</v>
      </c>
      <c r="CF50" s="66">
        <v>0</v>
      </c>
      <c r="CG50" s="47">
        <v>41</v>
      </c>
    </row>
    <row r="51" spans="1:85">
      <c r="A51" s="51">
        <f t="shared" si="4"/>
        <v>167.3</v>
      </c>
      <c r="B51" s="64">
        <v>1</v>
      </c>
      <c r="C51" s="65">
        <v>0</v>
      </c>
      <c r="D51" s="65">
        <v>0</v>
      </c>
      <c r="E51" s="65">
        <v>0</v>
      </c>
      <c r="F51" s="65">
        <v>0</v>
      </c>
      <c r="G51" s="65">
        <v>0</v>
      </c>
      <c r="H51" s="65">
        <v>0</v>
      </c>
      <c r="I51" s="65">
        <v>0</v>
      </c>
      <c r="J51" s="65">
        <v>0</v>
      </c>
      <c r="K51" s="65">
        <v>0</v>
      </c>
      <c r="L51" s="65">
        <v>0</v>
      </c>
      <c r="M51" s="65">
        <v>0</v>
      </c>
      <c r="N51" s="65">
        <v>0</v>
      </c>
      <c r="O51" s="65">
        <v>0</v>
      </c>
      <c r="P51" s="65">
        <v>21</v>
      </c>
      <c r="Q51" s="65">
        <v>21</v>
      </c>
      <c r="R51" s="65">
        <v>49.5</v>
      </c>
      <c r="S51" s="65">
        <v>74</v>
      </c>
      <c r="T51" s="65">
        <v>75.7</v>
      </c>
      <c r="U51" s="65">
        <v>67.8</v>
      </c>
      <c r="V51" s="65">
        <v>67.8</v>
      </c>
      <c r="W51" s="65">
        <v>60.8</v>
      </c>
      <c r="X51" s="65">
        <v>101.7</v>
      </c>
      <c r="Y51" s="65">
        <v>105.9</v>
      </c>
      <c r="Z51" s="65">
        <v>148.4</v>
      </c>
      <c r="AA51" s="65">
        <v>311.89999999999998</v>
      </c>
      <c r="AB51" s="65">
        <v>265.5</v>
      </c>
      <c r="AC51" s="65">
        <v>239.7</v>
      </c>
      <c r="AD51" s="65">
        <v>214.6</v>
      </c>
      <c r="AE51" s="65">
        <v>245.46666666666667</v>
      </c>
      <c r="AF51" s="65">
        <v>260.8</v>
      </c>
      <c r="AG51" s="65">
        <v>307.5</v>
      </c>
      <c r="AH51" s="65">
        <v>474.3</v>
      </c>
      <c r="AI51" s="65">
        <v>507.5</v>
      </c>
      <c r="AJ51" s="65">
        <v>634</v>
      </c>
      <c r="AK51" s="65">
        <v>393</v>
      </c>
      <c r="AL51" s="65">
        <v>393</v>
      </c>
      <c r="AM51" s="65">
        <v>415</v>
      </c>
      <c r="AN51" s="65">
        <v>502.3</v>
      </c>
      <c r="AO51" s="65">
        <v>543.70000000000005</v>
      </c>
      <c r="AP51" s="65">
        <v>595.20000000000005</v>
      </c>
      <c r="AQ51" s="65">
        <v>511.2</v>
      </c>
      <c r="AR51" s="65">
        <v>0</v>
      </c>
      <c r="AS51" s="65">
        <v>0</v>
      </c>
      <c r="AT51" s="65">
        <v>0</v>
      </c>
      <c r="AU51" s="65">
        <v>0</v>
      </c>
      <c r="AV51" s="65">
        <v>0</v>
      </c>
      <c r="AW51" s="65">
        <v>0</v>
      </c>
      <c r="AX51" s="65">
        <v>0</v>
      </c>
      <c r="AY51" s="65">
        <v>0</v>
      </c>
      <c r="AZ51" s="65">
        <v>0</v>
      </c>
      <c r="BA51" s="65">
        <v>0</v>
      </c>
      <c r="BB51" s="65">
        <v>151.19999999999999</v>
      </c>
      <c r="BC51" s="65">
        <v>151.19999999999999</v>
      </c>
      <c r="BD51" s="65">
        <v>0</v>
      </c>
      <c r="BE51" s="65">
        <v>0</v>
      </c>
      <c r="BF51" s="65">
        <v>0</v>
      </c>
      <c r="BG51" s="65">
        <v>0</v>
      </c>
      <c r="BH51" s="65">
        <v>0</v>
      </c>
      <c r="BI51" s="65">
        <v>71.933333333333337</v>
      </c>
      <c r="BJ51" s="65">
        <v>191.8</v>
      </c>
      <c r="BK51" s="65">
        <v>151.19999999999999</v>
      </c>
      <c r="BL51" s="65">
        <v>210.5</v>
      </c>
      <c r="BM51" s="65">
        <v>103.8</v>
      </c>
      <c r="BN51" s="65">
        <v>0</v>
      </c>
      <c r="BO51" s="65">
        <v>0</v>
      </c>
      <c r="BP51" s="65">
        <v>0</v>
      </c>
      <c r="BQ51" s="65">
        <v>50</v>
      </c>
      <c r="BR51" s="65">
        <v>211.8</v>
      </c>
      <c r="BS51" s="65">
        <v>305.75</v>
      </c>
      <c r="BT51" s="65">
        <v>0</v>
      </c>
      <c r="BU51" s="65">
        <v>0</v>
      </c>
      <c r="BV51" s="65">
        <v>1017.25</v>
      </c>
      <c r="BW51" s="65">
        <v>968.80899999999997</v>
      </c>
      <c r="BX51" s="65">
        <v>0</v>
      </c>
      <c r="BY51" s="65">
        <v>0</v>
      </c>
      <c r="BZ51" s="65">
        <v>55.766666666666673</v>
      </c>
      <c r="CA51" s="65">
        <v>190.55</v>
      </c>
      <c r="CB51" s="65">
        <v>0</v>
      </c>
      <c r="CC51" s="65">
        <v>0</v>
      </c>
      <c r="CD51" s="65">
        <v>45.65</v>
      </c>
      <c r="CE51" s="65">
        <v>269.10000000000002</v>
      </c>
      <c r="CF51" s="66">
        <v>0</v>
      </c>
      <c r="CG51" s="47">
        <v>42</v>
      </c>
    </row>
    <row r="52" spans="1:85">
      <c r="A52" s="51">
        <f t="shared" si="4"/>
        <v>166.3</v>
      </c>
      <c r="B52" s="64">
        <v>1</v>
      </c>
      <c r="C52" s="65">
        <v>0</v>
      </c>
      <c r="D52" s="65">
        <v>0</v>
      </c>
      <c r="E52" s="65">
        <v>0</v>
      </c>
      <c r="F52" s="65">
        <v>0</v>
      </c>
      <c r="G52" s="65">
        <v>0</v>
      </c>
      <c r="H52" s="65">
        <v>0</v>
      </c>
      <c r="I52" s="65">
        <v>0</v>
      </c>
      <c r="J52" s="65">
        <v>0</v>
      </c>
      <c r="K52" s="65">
        <v>0</v>
      </c>
      <c r="L52" s="65">
        <v>0</v>
      </c>
      <c r="M52" s="65">
        <v>0</v>
      </c>
      <c r="N52" s="65">
        <v>0</v>
      </c>
      <c r="O52" s="65">
        <v>0</v>
      </c>
      <c r="P52" s="65">
        <v>21</v>
      </c>
      <c r="Q52" s="65">
        <v>21</v>
      </c>
      <c r="R52" s="65">
        <v>41.5</v>
      </c>
      <c r="S52" s="65">
        <v>64.400000000000006</v>
      </c>
      <c r="T52" s="65">
        <v>69.3</v>
      </c>
      <c r="U52" s="65">
        <v>63.6</v>
      </c>
      <c r="V52" s="65">
        <v>63.6</v>
      </c>
      <c r="W52" s="65">
        <v>57.4</v>
      </c>
      <c r="X52" s="65">
        <v>89.8</v>
      </c>
      <c r="Y52" s="65">
        <v>91.2</v>
      </c>
      <c r="Z52" s="65">
        <v>132.80000000000001</v>
      </c>
      <c r="AA52" s="65">
        <v>263.7</v>
      </c>
      <c r="AB52" s="65">
        <v>225.2</v>
      </c>
      <c r="AC52" s="65">
        <v>211.8</v>
      </c>
      <c r="AD52" s="65">
        <v>165.8</v>
      </c>
      <c r="AE52" s="65">
        <v>216.86666666666665</v>
      </c>
      <c r="AF52" s="65">
        <v>249</v>
      </c>
      <c r="AG52" s="65">
        <v>297.7</v>
      </c>
      <c r="AH52" s="65">
        <v>462.1</v>
      </c>
      <c r="AI52" s="65">
        <v>503</v>
      </c>
      <c r="AJ52" s="65">
        <v>627.4</v>
      </c>
      <c r="AK52" s="65">
        <v>380.1</v>
      </c>
      <c r="AL52" s="65">
        <v>380.1</v>
      </c>
      <c r="AM52" s="65">
        <v>396.2</v>
      </c>
      <c r="AN52" s="65">
        <v>500.1</v>
      </c>
      <c r="AO52" s="65">
        <v>540.1</v>
      </c>
      <c r="AP52" s="65">
        <v>589.5</v>
      </c>
      <c r="AQ52" s="65">
        <v>490.7</v>
      </c>
      <c r="AR52" s="65">
        <v>0</v>
      </c>
      <c r="AS52" s="65">
        <v>0</v>
      </c>
      <c r="AT52" s="65">
        <v>0</v>
      </c>
      <c r="AU52" s="65">
        <v>0</v>
      </c>
      <c r="AV52" s="65">
        <v>0</v>
      </c>
      <c r="AW52" s="65">
        <v>0</v>
      </c>
      <c r="AX52" s="65">
        <v>0</v>
      </c>
      <c r="AY52" s="65">
        <v>0</v>
      </c>
      <c r="AZ52" s="65">
        <v>0</v>
      </c>
      <c r="BA52" s="65">
        <v>0</v>
      </c>
      <c r="BB52" s="65">
        <v>143.80000000000001</v>
      </c>
      <c r="BC52" s="65">
        <v>143.80000000000001</v>
      </c>
      <c r="BD52" s="65">
        <v>0</v>
      </c>
      <c r="BE52" s="65">
        <v>0</v>
      </c>
      <c r="BF52" s="65">
        <v>0</v>
      </c>
      <c r="BG52" s="65">
        <v>0</v>
      </c>
      <c r="BH52" s="65">
        <v>0</v>
      </c>
      <c r="BI52" s="65">
        <v>59.233333333333327</v>
      </c>
      <c r="BJ52" s="65">
        <v>154.44999999999999</v>
      </c>
      <c r="BK52" s="65">
        <v>143.80000000000001</v>
      </c>
      <c r="BL52" s="65">
        <v>204.2</v>
      </c>
      <c r="BM52" s="65">
        <v>92</v>
      </c>
      <c r="BN52" s="65">
        <v>0</v>
      </c>
      <c r="BO52" s="65">
        <v>0</v>
      </c>
      <c r="BP52" s="65">
        <v>0</v>
      </c>
      <c r="BQ52" s="65">
        <v>20</v>
      </c>
      <c r="BR52" s="65">
        <v>205.6</v>
      </c>
      <c r="BS52" s="65">
        <v>300.55</v>
      </c>
      <c r="BT52" s="65">
        <v>0</v>
      </c>
      <c r="BU52" s="65">
        <v>0</v>
      </c>
      <c r="BV52" s="65">
        <v>955.20399999999995</v>
      </c>
      <c r="BW52" s="65">
        <v>909.71799999999996</v>
      </c>
      <c r="BX52" s="65">
        <v>0</v>
      </c>
      <c r="BY52" s="65">
        <v>0</v>
      </c>
      <c r="BZ52" s="65">
        <v>48.433333333333337</v>
      </c>
      <c r="CA52" s="65">
        <v>179.45</v>
      </c>
      <c r="CB52" s="65">
        <v>0</v>
      </c>
      <c r="CC52" s="65">
        <v>0</v>
      </c>
      <c r="CD52" s="65">
        <v>18.600000000000001</v>
      </c>
      <c r="CE52" s="65">
        <v>261.89999999999998</v>
      </c>
      <c r="CF52" s="66">
        <v>0</v>
      </c>
      <c r="CG52" s="47">
        <v>43</v>
      </c>
    </row>
    <row r="53" spans="1:85">
      <c r="A53" s="51">
        <f t="shared" si="4"/>
        <v>165.3</v>
      </c>
      <c r="B53" s="64">
        <v>1</v>
      </c>
      <c r="C53" s="65">
        <v>0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21</v>
      </c>
      <c r="S53" s="65">
        <v>38.5</v>
      </c>
      <c r="T53" s="65">
        <v>62.1</v>
      </c>
      <c r="U53" s="65">
        <v>59.5</v>
      </c>
      <c r="V53" s="65">
        <v>59.5</v>
      </c>
      <c r="W53" s="65">
        <v>54.6</v>
      </c>
      <c r="X53" s="65">
        <v>85.3</v>
      </c>
      <c r="Y53" s="65">
        <v>84.8</v>
      </c>
      <c r="Z53" s="65">
        <v>116.1</v>
      </c>
      <c r="AA53" s="65">
        <v>178</v>
      </c>
      <c r="AB53" s="65">
        <v>190.1</v>
      </c>
      <c r="AC53" s="65">
        <v>205.4</v>
      </c>
      <c r="AD53" s="65">
        <v>129.30000000000001</v>
      </c>
      <c r="AE53" s="65">
        <v>196.76666666666668</v>
      </c>
      <c r="AF53" s="65">
        <v>225</v>
      </c>
      <c r="AG53" s="65">
        <v>270.89999999999998</v>
      </c>
      <c r="AH53" s="65">
        <v>417.2</v>
      </c>
      <c r="AI53" s="65">
        <v>498.5</v>
      </c>
      <c r="AJ53" s="65">
        <v>614.9</v>
      </c>
      <c r="AK53" s="65">
        <v>364.2</v>
      </c>
      <c r="AL53" s="65">
        <v>364.2</v>
      </c>
      <c r="AM53" s="65">
        <v>373.15</v>
      </c>
      <c r="AN53" s="65">
        <v>492.1</v>
      </c>
      <c r="AO53" s="65">
        <v>536.9</v>
      </c>
      <c r="AP53" s="65">
        <v>584.20000000000005</v>
      </c>
      <c r="AQ53" s="65">
        <v>462.5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130</v>
      </c>
      <c r="BC53" s="65">
        <v>130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43.933333333333337</v>
      </c>
      <c r="BJ53" s="65">
        <v>131.44999999999999</v>
      </c>
      <c r="BK53" s="65">
        <v>130</v>
      </c>
      <c r="BL53" s="65">
        <v>179</v>
      </c>
      <c r="BM53" s="65">
        <v>82.5</v>
      </c>
      <c r="BN53" s="65">
        <v>0</v>
      </c>
      <c r="BO53" s="65">
        <v>0</v>
      </c>
      <c r="BP53" s="65">
        <v>0</v>
      </c>
      <c r="BQ53" s="65">
        <v>0</v>
      </c>
      <c r="BR53" s="65">
        <v>198.4</v>
      </c>
      <c r="BS53" s="65">
        <v>294.89999999999998</v>
      </c>
      <c r="BT53" s="65">
        <v>0</v>
      </c>
      <c r="BU53" s="65">
        <v>0</v>
      </c>
      <c r="BV53" s="65">
        <v>864.28499999999997</v>
      </c>
      <c r="BW53" s="65">
        <v>823.12900000000002</v>
      </c>
      <c r="BX53" s="65">
        <v>0</v>
      </c>
      <c r="BY53" s="65">
        <v>0</v>
      </c>
      <c r="BZ53" s="65">
        <v>14.5</v>
      </c>
      <c r="CA53" s="65">
        <v>168.5</v>
      </c>
      <c r="CB53" s="65">
        <v>0</v>
      </c>
      <c r="CC53" s="65">
        <v>0</v>
      </c>
      <c r="CD53" s="65">
        <v>0</v>
      </c>
      <c r="CE53" s="65">
        <v>254.3</v>
      </c>
      <c r="CF53" s="66">
        <v>0</v>
      </c>
      <c r="CG53" s="47">
        <v>44</v>
      </c>
    </row>
    <row r="54" spans="1:85">
      <c r="A54" s="51">
        <f t="shared" si="4"/>
        <v>164.3</v>
      </c>
      <c r="B54" s="64">
        <v>1</v>
      </c>
      <c r="C54" s="65">
        <v>0</v>
      </c>
      <c r="D54" s="65">
        <v>0</v>
      </c>
      <c r="E54" s="65">
        <v>0</v>
      </c>
      <c r="F54" s="65">
        <v>0</v>
      </c>
      <c r="G54" s="65">
        <v>0</v>
      </c>
      <c r="H54" s="65">
        <v>0</v>
      </c>
      <c r="I54" s="65">
        <v>0</v>
      </c>
      <c r="J54" s="65">
        <v>0</v>
      </c>
      <c r="K54" s="65">
        <v>0</v>
      </c>
      <c r="L54" s="65">
        <v>0</v>
      </c>
      <c r="M54" s="65">
        <v>0</v>
      </c>
      <c r="N54" s="65">
        <v>0</v>
      </c>
      <c r="O54" s="65">
        <v>0</v>
      </c>
      <c r="P54" s="65">
        <v>0</v>
      </c>
      <c r="Q54" s="65">
        <v>0</v>
      </c>
      <c r="R54" s="65">
        <v>0</v>
      </c>
      <c r="S54" s="65">
        <v>21</v>
      </c>
      <c r="T54" s="65">
        <v>38.9</v>
      </c>
      <c r="U54" s="65">
        <v>48.8</v>
      </c>
      <c r="V54" s="65">
        <v>48.8</v>
      </c>
      <c r="W54" s="65">
        <v>51.1</v>
      </c>
      <c r="X54" s="65">
        <v>80.7</v>
      </c>
      <c r="Y54" s="65">
        <v>79.599999999999994</v>
      </c>
      <c r="Z54" s="65">
        <v>109.4</v>
      </c>
      <c r="AA54" s="65">
        <v>90.3</v>
      </c>
      <c r="AB54" s="65">
        <v>177.2</v>
      </c>
      <c r="AC54" s="65">
        <v>190.8</v>
      </c>
      <c r="AD54" s="65">
        <v>118.3</v>
      </c>
      <c r="AE54" s="65">
        <v>177.0333333333333</v>
      </c>
      <c r="AF54" s="65">
        <v>205.4</v>
      </c>
      <c r="AG54" s="65">
        <v>240.2</v>
      </c>
      <c r="AH54" s="65">
        <v>375.8</v>
      </c>
      <c r="AI54" s="65">
        <v>487.8</v>
      </c>
      <c r="AJ54" s="65">
        <v>596.84999999999991</v>
      </c>
      <c r="AK54" s="65">
        <v>349</v>
      </c>
      <c r="AL54" s="65">
        <v>349</v>
      </c>
      <c r="AM54" s="65">
        <v>354.45</v>
      </c>
      <c r="AN54" s="65">
        <v>487</v>
      </c>
      <c r="AO54" s="65">
        <v>534.1</v>
      </c>
      <c r="AP54" s="65">
        <v>578.9</v>
      </c>
      <c r="AQ54" s="65">
        <v>439.5</v>
      </c>
      <c r="AR54" s="65">
        <v>0</v>
      </c>
      <c r="AS54" s="65">
        <v>0</v>
      </c>
      <c r="AT54" s="65">
        <v>0</v>
      </c>
      <c r="AU54" s="65">
        <v>0</v>
      </c>
      <c r="AV54" s="65">
        <v>0</v>
      </c>
      <c r="AW54" s="65">
        <v>0</v>
      </c>
      <c r="AX54" s="65">
        <v>0</v>
      </c>
      <c r="AY54" s="65">
        <v>0</v>
      </c>
      <c r="AZ54" s="65">
        <v>0</v>
      </c>
      <c r="BA54" s="65">
        <v>0</v>
      </c>
      <c r="BB54" s="65">
        <v>115.9</v>
      </c>
      <c r="BC54" s="65">
        <v>115.9</v>
      </c>
      <c r="BD54" s="65">
        <v>0</v>
      </c>
      <c r="BE54" s="65">
        <v>0</v>
      </c>
      <c r="BF54" s="65">
        <v>0</v>
      </c>
      <c r="BG54" s="65">
        <v>0</v>
      </c>
      <c r="BH54" s="65">
        <v>0</v>
      </c>
      <c r="BI54" s="65">
        <v>27.266666666666666</v>
      </c>
      <c r="BJ54" s="65">
        <v>96.75</v>
      </c>
      <c r="BK54" s="65">
        <v>115.9</v>
      </c>
      <c r="BL54" s="65">
        <v>119.2</v>
      </c>
      <c r="BM54" s="65">
        <v>73.2</v>
      </c>
      <c r="BN54" s="65">
        <v>0</v>
      </c>
      <c r="BO54" s="65">
        <v>0</v>
      </c>
      <c r="BP54" s="65">
        <v>0</v>
      </c>
      <c r="BQ54" s="65">
        <v>0</v>
      </c>
      <c r="BR54" s="65">
        <v>186.5</v>
      </c>
      <c r="BS54" s="65">
        <v>288.95</v>
      </c>
      <c r="BT54" s="65">
        <v>0</v>
      </c>
      <c r="BU54" s="65">
        <v>0</v>
      </c>
      <c r="BV54" s="65">
        <v>767.00199999999995</v>
      </c>
      <c r="BW54" s="65">
        <v>730.47799999999995</v>
      </c>
      <c r="BX54" s="65">
        <v>0</v>
      </c>
      <c r="BY54" s="65">
        <v>0</v>
      </c>
      <c r="BZ54" s="65">
        <v>0</v>
      </c>
      <c r="CA54" s="65">
        <v>159.1</v>
      </c>
      <c r="CB54" s="65">
        <v>0</v>
      </c>
      <c r="CC54" s="65">
        <v>0</v>
      </c>
      <c r="CD54" s="65">
        <v>0</v>
      </c>
      <c r="CE54" s="65">
        <v>243.3</v>
      </c>
      <c r="CF54" s="66">
        <v>0</v>
      </c>
      <c r="CG54" s="47">
        <v>45</v>
      </c>
    </row>
    <row r="55" spans="1:85">
      <c r="A55" s="51">
        <f t="shared" si="4"/>
        <v>163.30000000000001</v>
      </c>
      <c r="B55" s="64">
        <v>1</v>
      </c>
      <c r="C55" s="65">
        <v>0</v>
      </c>
      <c r="D55" s="65">
        <v>0</v>
      </c>
      <c r="E55" s="65">
        <v>0</v>
      </c>
      <c r="F55" s="65">
        <v>0</v>
      </c>
      <c r="G55" s="65">
        <v>0</v>
      </c>
      <c r="H55" s="65">
        <v>0</v>
      </c>
      <c r="I55" s="65">
        <v>0</v>
      </c>
      <c r="J55" s="65">
        <v>0</v>
      </c>
      <c r="K55" s="65">
        <v>0</v>
      </c>
      <c r="L55" s="65">
        <v>0</v>
      </c>
      <c r="M55" s="65">
        <v>0</v>
      </c>
      <c r="N55" s="65">
        <v>0</v>
      </c>
      <c r="O55" s="65">
        <v>0</v>
      </c>
      <c r="P55" s="65">
        <v>0</v>
      </c>
      <c r="Q55" s="65">
        <v>0</v>
      </c>
      <c r="R55" s="65">
        <v>0</v>
      </c>
      <c r="S55" s="65">
        <v>0</v>
      </c>
      <c r="T55" s="65">
        <v>23.2</v>
      </c>
      <c r="U55" s="65">
        <v>39.6</v>
      </c>
      <c r="V55" s="65">
        <v>39.6</v>
      </c>
      <c r="W55" s="65">
        <v>46.7</v>
      </c>
      <c r="X55" s="65">
        <v>75.7</v>
      </c>
      <c r="Y55" s="65">
        <v>72.599999999999994</v>
      </c>
      <c r="Z55" s="65">
        <v>102.1</v>
      </c>
      <c r="AA55" s="65">
        <v>86.1</v>
      </c>
      <c r="AB55" s="65">
        <v>151.4</v>
      </c>
      <c r="AC55" s="65">
        <v>163.9</v>
      </c>
      <c r="AD55" s="65">
        <v>110.6</v>
      </c>
      <c r="AE55" s="65">
        <v>166.53333333333333</v>
      </c>
      <c r="AF55" s="65">
        <v>179.7</v>
      </c>
      <c r="AG55" s="65">
        <v>210.8</v>
      </c>
      <c r="AH55" s="65">
        <v>344.4</v>
      </c>
      <c r="AI55" s="65">
        <v>464</v>
      </c>
      <c r="AJ55" s="65">
        <v>578.5</v>
      </c>
      <c r="AK55" s="65">
        <v>337.5</v>
      </c>
      <c r="AL55" s="65">
        <v>337.5</v>
      </c>
      <c r="AM55" s="65">
        <v>332.75</v>
      </c>
      <c r="AN55" s="65">
        <v>482.8</v>
      </c>
      <c r="AO55" s="65">
        <v>530.6</v>
      </c>
      <c r="AP55" s="65">
        <v>572.1</v>
      </c>
      <c r="AQ55" s="65">
        <v>425.1</v>
      </c>
      <c r="AR55" s="65">
        <v>0</v>
      </c>
      <c r="AS55" s="65">
        <v>0</v>
      </c>
      <c r="AT55" s="65">
        <v>0</v>
      </c>
      <c r="AU55" s="65">
        <v>0</v>
      </c>
      <c r="AV55" s="65">
        <v>0</v>
      </c>
      <c r="AW55" s="65">
        <v>0</v>
      </c>
      <c r="AX55" s="65">
        <v>0</v>
      </c>
      <c r="AY55" s="65">
        <v>0</v>
      </c>
      <c r="AZ55" s="65">
        <v>0</v>
      </c>
      <c r="BA55" s="65">
        <v>0</v>
      </c>
      <c r="BB55" s="65">
        <v>109.9</v>
      </c>
      <c r="BC55" s="65">
        <v>109.9</v>
      </c>
      <c r="BD55" s="65">
        <v>0</v>
      </c>
      <c r="BE55" s="65">
        <v>0</v>
      </c>
      <c r="BF55" s="65">
        <v>0</v>
      </c>
      <c r="BG55" s="65">
        <v>0</v>
      </c>
      <c r="BH55" s="65">
        <v>0</v>
      </c>
      <c r="BI55" s="65">
        <v>0</v>
      </c>
      <c r="BJ55" s="65">
        <v>43.05</v>
      </c>
      <c r="BK55" s="65">
        <v>109.9</v>
      </c>
      <c r="BL55" s="65">
        <v>115</v>
      </c>
      <c r="BM55" s="65">
        <v>67</v>
      </c>
      <c r="BN55" s="65">
        <v>0</v>
      </c>
      <c r="BO55" s="65">
        <v>0</v>
      </c>
      <c r="BP55" s="65">
        <v>0</v>
      </c>
      <c r="BQ55" s="65">
        <v>0</v>
      </c>
      <c r="BR55" s="65">
        <v>75.2</v>
      </c>
      <c r="BS55" s="65">
        <v>280.5</v>
      </c>
      <c r="BT55" s="65">
        <v>0</v>
      </c>
      <c r="BU55" s="65">
        <v>0</v>
      </c>
      <c r="BV55" s="65">
        <v>661.19600000000003</v>
      </c>
      <c r="BW55" s="65">
        <v>629.71100000000001</v>
      </c>
      <c r="BX55" s="65">
        <v>0</v>
      </c>
      <c r="BY55" s="65">
        <v>0</v>
      </c>
      <c r="BZ55" s="65">
        <v>0</v>
      </c>
      <c r="CA55" s="65">
        <v>150.30000000000001</v>
      </c>
      <c r="CB55" s="65">
        <v>0</v>
      </c>
      <c r="CC55" s="65">
        <v>0</v>
      </c>
      <c r="CD55" s="65">
        <v>0</v>
      </c>
      <c r="CE55" s="65">
        <v>232.35000000000002</v>
      </c>
      <c r="CF55" s="66">
        <v>0</v>
      </c>
      <c r="CG55" s="47">
        <v>46</v>
      </c>
    </row>
    <row r="56" spans="1:85">
      <c r="A56" s="51">
        <f t="shared" si="4"/>
        <v>162.30000000000001</v>
      </c>
      <c r="B56" s="64">
        <v>1</v>
      </c>
      <c r="C56" s="65">
        <v>0</v>
      </c>
      <c r="D56" s="65">
        <v>0</v>
      </c>
      <c r="E56" s="65">
        <v>0</v>
      </c>
      <c r="F56" s="65">
        <v>0</v>
      </c>
      <c r="G56" s="65">
        <v>0</v>
      </c>
      <c r="H56" s="65">
        <v>0</v>
      </c>
      <c r="I56" s="65">
        <v>0</v>
      </c>
      <c r="J56" s="65">
        <v>0</v>
      </c>
      <c r="K56" s="65">
        <v>0</v>
      </c>
      <c r="L56" s="65">
        <v>0</v>
      </c>
      <c r="M56" s="65">
        <v>0</v>
      </c>
      <c r="N56" s="65">
        <v>0</v>
      </c>
      <c r="O56" s="65">
        <v>0</v>
      </c>
      <c r="P56" s="65">
        <v>0</v>
      </c>
      <c r="Q56" s="65">
        <v>0</v>
      </c>
      <c r="R56" s="65">
        <v>0</v>
      </c>
      <c r="S56" s="65">
        <v>0</v>
      </c>
      <c r="T56" s="65">
        <v>21</v>
      </c>
      <c r="U56" s="65">
        <v>29.9</v>
      </c>
      <c r="V56" s="65">
        <v>29.9</v>
      </c>
      <c r="W56" s="65">
        <v>41</v>
      </c>
      <c r="X56" s="65">
        <v>70.599999999999994</v>
      </c>
      <c r="Y56" s="65">
        <v>66.2</v>
      </c>
      <c r="Z56" s="65">
        <v>86.6</v>
      </c>
      <c r="AA56" s="65">
        <v>82.4</v>
      </c>
      <c r="AB56" s="65">
        <v>144.9</v>
      </c>
      <c r="AC56" s="65">
        <v>156.30000000000001</v>
      </c>
      <c r="AD56" s="65">
        <v>104.7</v>
      </c>
      <c r="AE56" s="65">
        <v>157.79999999999998</v>
      </c>
      <c r="AF56" s="65">
        <v>157.19999999999999</v>
      </c>
      <c r="AG56" s="65">
        <v>187.5</v>
      </c>
      <c r="AH56" s="65">
        <v>322.60000000000002</v>
      </c>
      <c r="AI56" s="65">
        <v>458.8</v>
      </c>
      <c r="AJ56" s="65">
        <v>568.45000000000005</v>
      </c>
      <c r="AK56" s="65">
        <v>313</v>
      </c>
      <c r="AL56" s="65">
        <v>313</v>
      </c>
      <c r="AM56" s="65">
        <v>307.05</v>
      </c>
      <c r="AN56" s="65">
        <v>478.3</v>
      </c>
      <c r="AO56" s="65">
        <v>520.20000000000005</v>
      </c>
      <c r="AP56" s="65">
        <v>554.5</v>
      </c>
      <c r="AQ56" s="65">
        <v>405.4</v>
      </c>
      <c r="AR56" s="65">
        <v>0</v>
      </c>
      <c r="AS56" s="65">
        <v>0</v>
      </c>
      <c r="AT56" s="65">
        <v>0</v>
      </c>
      <c r="AU56" s="65">
        <v>0</v>
      </c>
      <c r="AV56" s="65">
        <v>0</v>
      </c>
      <c r="AW56" s="65">
        <v>0</v>
      </c>
      <c r="AX56" s="65">
        <v>0</v>
      </c>
      <c r="AY56" s="65">
        <v>0</v>
      </c>
      <c r="AZ56" s="65">
        <v>0</v>
      </c>
      <c r="BA56" s="65">
        <v>0</v>
      </c>
      <c r="BB56" s="65">
        <v>101.75</v>
      </c>
      <c r="BC56" s="65">
        <v>101.75</v>
      </c>
      <c r="BD56" s="65">
        <v>0</v>
      </c>
      <c r="BE56" s="65">
        <v>0</v>
      </c>
      <c r="BF56" s="65">
        <v>0</v>
      </c>
      <c r="BG56" s="65">
        <v>0</v>
      </c>
      <c r="BH56" s="65">
        <v>0</v>
      </c>
      <c r="BI56" s="65">
        <v>0</v>
      </c>
      <c r="BJ56" s="65">
        <v>21.35</v>
      </c>
      <c r="BK56" s="65">
        <v>101.75</v>
      </c>
      <c r="BL56" s="65">
        <v>108.9</v>
      </c>
      <c r="BM56" s="65">
        <v>63.7</v>
      </c>
      <c r="BN56" s="65">
        <v>0</v>
      </c>
      <c r="BO56" s="65">
        <v>0</v>
      </c>
      <c r="BP56" s="65">
        <v>0</v>
      </c>
      <c r="BQ56" s="65">
        <v>0</v>
      </c>
      <c r="BR56" s="65">
        <v>50</v>
      </c>
      <c r="BS56" s="65">
        <v>268.8</v>
      </c>
      <c r="BT56" s="65">
        <v>0</v>
      </c>
      <c r="BU56" s="65">
        <v>0</v>
      </c>
      <c r="BV56" s="65">
        <v>600.28</v>
      </c>
      <c r="BW56" s="65">
        <v>571.69500000000005</v>
      </c>
      <c r="BX56" s="65">
        <v>0</v>
      </c>
      <c r="BY56" s="65">
        <v>0</v>
      </c>
      <c r="BZ56" s="65">
        <v>0</v>
      </c>
      <c r="CA56" s="65">
        <v>142.25</v>
      </c>
      <c r="CB56" s="65">
        <v>0</v>
      </c>
      <c r="CC56" s="65">
        <v>0</v>
      </c>
      <c r="CD56" s="65">
        <v>0</v>
      </c>
      <c r="CE56" s="65">
        <v>222.5</v>
      </c>
      <c r="CF56" s="66">
        <v>0</v>
      </c>
      <c r="CG56" s="47">
        <v>47</v>
      </c>
    </row>
    <row r="57" spans="1:85">
      <c r="A57" s="51">
        <f t="shared" si="4"/>
        <v>161.30000000000001</v>
      </c>
      <c r="B57" s="64">
        <v>1</v>
      </c>
      <c r="C57" s="65">
        <v>0</v>
      </c>
      <c r="D57" s="65">
        <v>0</v>
      </c>
      <c r="E57" s="65">
        <v>0</v>
      </c>
      <c r="F57" s="65">
        <v>0</v>
      </c>
      <c r="G57" s="65">
        <v>0</v>
      </c>
      <c r="H57" s="65">
        <v>0</v>
      </c>
      <c r="I57" s="65">
        <v>0</v>
      </c>
      <c r="J57" s="65">
        <v>0</v>
      </c>
      <c r="K57" s="65">
        <v>0</v>
      </c>
      <c r="L57" s="65">
        <v>0</v>
      </c>
      <c r="M57" s="65">
        <v>0</v>
      </c>
      <c r="N57" s="65">
        <v>0</v>
      </c>
      <c r="O57" s="65">
        <v>0</v>
      </c>
      <c r="P57" s="65">
        <v>0</v>
      </c>
      <c r="Q57" s="65">
        <v>0</v>
      </c>
      <c r="R57" s="65">
        <v>0</v>
      </c>
      <c r="S57" s="65">
        <v>0</v>
      </c>
      <c r="T57" s="65">
        <v>0</v>
      </c>
      <c r="U57" s="65">
        <v>21</v>
      </c>
      <c r="V57" s="65">
        <v>21</v>
      </c>
      <c r="W57" s="65">
        <v>29.2</v>
      </c>
      <c r="X57" s="65">
        <v>61.8</v>
      </c>
      <c r="Y57" s="65">
        <v>58</v>
      </c>
      <c r="Z57" s="65">
        <v>74.599999999999994</v>
      </c>
      <c r="AA57" s="65">
        <v>78.8</v>
      </c>
      <c r="AB57" s="65">
        <v>139.5</v>
      </c>
      <c r="AC57" s="65">
        <v>150.5</v>
      </c>
      <c r="AD57" s="65">
        <v>98.5</v>
      </c>
      <c r="AE57" s="65">
        <v>150</v>
      </c>
      <c r="AF57" s="65">
        <v>149.1</v>
      </c>
      <c r="AG57" s="65">
        <v>170.1</v>
      </c>
      <c r="AH57" s="65">
        <v>305.10000000000002</v>
      </c>
      <c r="AI57" s="65">
        <v>454</v>
      </c>
      <c r="AJ57" s="65">
        <v>542.1</v>
      </c>
      <c r="AK57" s="65">
        <v>262.89999999999998</v>
      </c>
      <c r="AL57" s="65">
        <v>262.89999999999998</v>
      </c>
      <c r="AM57" s="65">
        <v>291.64999999999998</v>
      </c>
      <c r="AN57" s="65">
        <v>473.4</v>
      </c>
      <c r="AO57" s="65">
        <v>508</v>
      </c>
      <c r="AP57" s="65">
        <v>541.70000000000005</v>
      </c>
      <c r="AQ57" s="65">
        <v>394.9</v>
      </c>
      <c r="AR57" s="65">
        <v>0</v>
      </c>
      <c r="AS57" s="65">
        <v>0</v>
      </c>
      <c r="AT57" s="65">
        <v>0</v>
      </c>
      <c r="AU57" s="65">
        <v>0</v>
      </c>
      <c r="AV57" s="65">
        <v>0</v>
      </c>
      <c r="AW57" s="65">
        <v>0</v>
      </c>
      <c r="AX57" s="65">
        <v>0</v>
      </c>
      <c r="AY57" s="65">
        <v>0</v>
      </c>
      <c r="AZ57" s="65">
        <v>0</v>
      </c>
      <c r="BA57" s="65">
        <v>0</v>
      </c>
      <c r="BB57" s="65">
        <v>88.45</v>
      </c>
      <c r="BC57" s="65">
        <v>88.45</v>
      </c>
      <c r="BD57" s="65">
        <v>0</v>
      </c>
      <c r="BE57" s="65">
        <v>0</v>
      </c>
      <c r="BF57" s="65">
        <v>0</v>
      </c>
      <c r="BG57" s="65">
        <v>0</v>
      </c>
      <c r="BH57" s="65">
        <v>0</v>
      </c>
      <c r="BI57" s="65">
        <v>0</v>
      </c>
      <c r="BJ57" s="65">
        <v>0</v>
      </c>
      <c r="BK57" s="65">
        <v>88.45</v>
      </c>
      <c r="BL57" s="65">
        <v>101.3</v>
      </c>
      <c r="BM57" s="65">
        <v>60.3</v>
      </c>
      <c r="BN57" s="65">
        <v>0</v>
      </c>
      <c r="BO57" s="65">
        <v>0</v>
      </c>
      <c r="BP57" s="65">
        <v>0</v>
      </c>
      <c r="BQ57" s="65">
        <v>0</v>
      </c>
      <c r="BR57" s="65">
        <v>20</v>
      </c>
      <c r="BS57" s="65">
        <v>208.4</v>
      </c>
      <c r="BT57" s="65">
        <v>0</v>
      </c>
      <c r="BU57" s="65">
        <v>0</v>
      </c>
      <c r="BV57" s="65">
        <v>544.596</v>
      </c>
      <c r="BW57" s="65">
        <v>518.66200000000003</v>
      </c>
      <c r="BX57" s="65">
        <v>0</v>
      </c>
      <c r="BY57" s="65">
        <v>0</v>
      </c>
      <c r="BZ57" s="65">
        <v>0</v>
      </c>
      <c r="CA57" s="65">
        <v>134.20000000000002</v>
      </c>
      <c r="CB57" s="65">
        <v>0</v>
      </c>
      <c r="CC57" s="65">
        <v>0</v>
      </c>
      <c r="CD57" s="65">
        <v>0</v>
      </c>
      <c r="CE57" s="65">
        <v>212.8</v>
      </c>
      <c r="CF57" s="66">
        <v>0</v>
      </c>
      <c r="CG57" s="47">
        <v>48</v>
      </c>
    </row>
    <row r="58" spans="1:85">
      <c r="A58" s="51">
        <f t="shared" si="4"/>
        <v>160.30000000000001</v>
      </c>
      <c r="B58" s="64">
        <v>1</v>
      </c>
      <c r="C58" s="65">
        <v>0</v>
      </c>
      <c r="D58" s="65">
        <v>0</v>
      </c>
      <c r="E58" s="65">
        <v>0</v>
      </c>
      <c r="F58" s="65">
        <v>0</v>
      </c>
      <c r="G58" s="65">
        <v>0</v>
      </c>
      <c r="H58" s="65">
        <v>0</v>
      </c>
      <c r="I58" s="65">
        <v>0</v>
      </c>
      <c r="J58" s="65">
        <v>0</v>
      </c>
      <c r="K58" s="65">
        <v>0</v>
      </c>
      <c r="L58" s="65">
        <v>0</v>
      </c>
      <c r="M58" s="65">
        <v>0</v>
      </c>
      <c r="N58" s="65">
        <v>0</v>
      </c>
      <c r="O58" s="65">
        <v>0</v>
      </c>
      <c r="P58" s="65">
        <v>0</v>
      </c>
      <c r="Q58" s="65">
        <v>0</v>
      </c>
      <c r="R58" s="65">
        <v>0</v>
      </c>
      <c r="S58" s="65">
        <v>0</v>
      </c>
      <c r="T58" s="65">
        <v>0</v>
      </c>
      <c r="U58" s="65">
        <v>0</v>
      </c>
      <c r="V58" s="65">
        <v>0</v>
      </c>
      <c r="W58" s="65">
        <v>0</v>
      </c>
      <c r="X58" s="65">
        <v>21</v>
      </c>
      <c r="Y58" s="65">
        <v>46.1</v>
      </c>
      <c r="Z58" s="65">
        <v>63.1</v>
      </c>
      <c r="AA58" s="65">
        <v>75.2</v>
      </c>
      <c r="AB58" s="65">
        <v>134.69999999999999</v>
      </c>
      <c r="AC58" s="65">
        <v>142.9</v>
      </c>
      <c r="AD58" s="65">
        <v>92.8</v>
      </c>
      <c r="AE58" s="65">
        <v>142.9</v>
      </c>
      <c r="AF58" s="65">
        <v>137</v>
      </c>
      <c r="AG58" s="65">
        <v>155.80000000000001</v>
      </c>
      <c r="AH58" s="65">
        <v>285.10000000000002</v>
      </c>
      <c r="AI58" s="65">
        <v>448.5</v>
      </c>
      <c r="AJ58" s="65">
        <v>479.05</v>
      </c>
      <c r="AK58" s="65">
        <v>210</v>
      </c>
      <c r="AL58" s="65">
        <v>210</v>
      </c>
      <c r="AM58" s="65">
        <v>282.64999999999998</v>
      </c>
      <c r="AN58" s="65">
        <v>467.7</v>
      </c>
      <c r="AO58" s="65">
        <v>499</v>
      </c>
      <c r="AP58" s="65">
        <v>535.5</v>
      </c>
      <c r="AQ58" s="65">
        <v>386.8</v>
      </c>
      <c r="AR58" s="65">
        <v>0</v>
      </c>
      <c r="AS58" s="65">
        <v>0</v>
      </c>
      <c r="AT58" s="65">
        <v>0</v>
      </c>
      <c r="AU58" s="65">
        <v>0</v>
      </c>
      <c r="AV58" s="65">
        <v>0</v>
      </c>
      <c r="AW58" s="65">
        <v>0</v>
      </c>
      <c r="AX58" s="65">
        <v>0</v>
      </c>
      <c r="AY58" s="65">
        <v>0</v>
      </c>
      <c r="AZ58" s="65">
        <v>0</v>
      </c>
      <c r="BA58" s="65">
        <v>0</v>
      </c>
      <c r="BB58" s="65">
        <v>74.900000000000006</v>
      </c>
      <c r="BC58" s="65">
        <v>74.900000000000006</v>
      </c>
      <c r="BD58" s="65">
        <v>0</v>
      </c>
      <c r="BE58" s="65">
        <v>0</v>
      </c>
      <c r="BF58" s="65">
        <v>0</v>
      </c>
      <c r="BG58" s="65">
        <v>0</v>
      </c>
      <c r="BH58" s="65">
        <v>0</v>
      </c>
      <c r="BI58" s="65">
        <v>0</v>
      </c>
      <c r="BJ58" s="65">
        <v>0</v>
      </c>
      <c r="BK58" s="65">
        <v>74.900000000000006</v>
      </c>
      <c r="BL58" s="65">
        <v>89.8</v>
      </c>
      <c r="BM58" s="65">
        <v>56.9</v>
      </c>
      <c r="BN58" s="65">
        <v>0</v>
      </c>
      <c r="BO58" s="65">
        <v>0</v>
      </c>
      <c r="BP58" s="65">
        <v>0</v>
      </c>
      <c r="BQ58" s="65">
        <v>0</v>
      </c>
      <c r="BR58" s="65">
        <v>0</v>
      </c>
      <c r="BS58" s="65">
        <v>122.2</v>
      </c>
      <c r="BT58" s="65">
        <v>0</v>
      </c>
      <c r="BU58" s="65">
        <v>0</v>
      </c>
      <c r="BV58" s="65">
        <v>497.34</v>
      </c>
      <c r="BW58" s="65">
        <v>473.65699999999998</v>
      </c>
      <c r="BX58" s="65">
        <v>0</v>
      </c>
      <c r="BY58" s="65">
        <v>0</v>
      </c>
      <c r="BZ58" s="65">
        <v>0</v>
      </c>
      <c r="CA58" s="65">
        <v>121.75</v>
      </c>
      <c r="CB58" s="65">
        <v>0</v>
      </c>
      <c r="CC58" s="65">
        <v>0</v>
      </c>
      <c r="CD58" s="65">
        <v>0</v>
      </c>
      <c r="CE58" s="65">
        <v>200.05</v>
      </c>
      <c r="CF58" s="66">
        <v>0</v>
      </c>
      <c r="CG58" s="47">
        <v>49</v>
      </c>
    </row>
    <row r="59" spans="1:85">
      <c r="A59" s="51">
        <f t="shared" si="4"/>
        <v>159.30000000000001</v>
      </c>
      <c r="B59" s="64">
        <v>1</v>
      </c>
      <c r="C59" s="65">
        <v>0</v>
      </c>
      <c r="D59" s="65">
        <v>0</v>
      </c>
      <c r="E59" s="65">
        <v>0</v>
      </c>
      <c r="F59" s="65">
        <v>0</v>
      </c>
      <c r="G59" s="65">
        <v>0</v>
      </c>
      <c r="H59" s="65">
        <v>0</v>
      </c>
      <c r="I59" s="65">
        <v>0</v>
      </c>
      <c r="J59" s="65">
        <v>0</v>
      </c>
      <c r="K59" s="65">
        <v>0</v>
      </c>
      <c r="L59" s="65">
        <v>0</v>
      </c>
      <c r="M59" s="65">
        <v>0</v>
      </c>
      <c r="N59" s="65">
        <v>0</v>
      </c>
      <c r="O59" s="65">
        <v>0</v>
      </c>
      <c r="P59" s="65">
        <v>0</v>
      </c>
      <c r="Q59" s="65">
        <v>0</v>
      </c>
      <c r="R59" s="65">
        <v>0</v>
      </c>
      <c r="S59" s="65">
        <v>0</v>
      </c>
      <c r="T59" s="65">
        <v>0</v>
      </c>
      <c r="U59" s="65">
        <v>0</v>
      </c>
      <c r="V59" s="65">
        <v>0</v>
      </c>
      <c r="W59" s="65">
        <v>0</v>
      </c>
      <c r="X59" s="65">
        <v>0</v>
      </c>
      <c r="Y59" s="65">
        <v>21</v>
      </c>
      <c r="Z59" s="65">
        <v>52.3</v>
      </c>
      <c r="AA59" s="65">
        <v>71.5</v>
      </c>
      <c r="AB59" s="65">
        <v>113</v>
      </c>
      <c r="AC59" s="65">
        <v>120.1</v>
      </c>
      <c r="AD59" s="65">
        <v>86.3</v>
      </c>
      <c r="AE59" s="65">
        <v>136.33333333333334</v>
      </c>
      <c r="AF59" s="65">
        <v>125.1</v>
      </c>
      <c r="AG59" s="65">
        <v>138</v>
      </c>
      <c r="AH59" s="65">
        <v>258.8</v>
      </c>
      <c r="AI59" s="65">
        <v>442.1</v>
      </c>
      <c r="AJ59" s="65">
        <v>412.6</v>
      </c>
      <c r="AK59" s="65">
        <v>155.6</v>
      </c>
      <c r="AL59" s="65">
        <v>155.6</v>
      </c>
      <c r="AM59" s="65">
        <v>264.7</v>
      </c>
      <c r="AN59" s="65">
        <v>461.5</v>
      </c>
      <c r="AO59" s="65">
        <v>481.3</v>
      </c>
      <c r="AP59" s="65">
        <v>523.70000000000005</v>
      </c>
      <c r="AQ59" s="65">
        <v>377</v>
      </c>
      <c r="AR59" s="65">
        <v>0</v>
      </c>
      <c r="AS59" s="65">
        <v>0</v>
      </c>
      <c r="AT59" s="65">
        <v>0</v>
      </c>
      <c r="AU59" s="65">
        <v>0</v>
      </c>
      <c r="AV59" s="65">
        <v>0</v>
      </c>
      <c r="AW59" s="65">
        <v>0</v>
      </c>
      <c r="AX59" s="65">
        <v>0</v>
      </c>
      <c r="AY59" s="65">
        <v>0</v>
      </c>
      <c r="AZ59" s="65">
        <v>0</v>
      </c>
      <c r="BA59" s="65">
        <v>0</v>
      </c>
      <c r="BB59" s="65">
        <v>67</v>
      </c>
      <c r="BC59" s="65">
        <v>67</v>
      </c>
      <c r="BD59" s="65">
        <v>0</v>
      </c>
      <c r="BE59" s="65">
        <v>0</v>
      </c>
      <c r="BF59" s="65">
        <v>0</v>
      </c>
      <c r="BG59" s="65">
        <v>0</v>
      </c>
      <c r="BH59" s="65">
        <v>0</v>
      </c>
      <c r="BI59" s="65">
        <v>0</v>
      </c>
      <c r="BJ59" s="65">
        <v>0</v>
      </c>
      <c r="BK59" s="65">
        <v>67</v>
      </c>
      <c r="BL59" s="65">
        <v>82.8</v>
      </c>
      <c r="BM59" s="65">
        <v>53.7</v>
      </c>
      <c r="BN59" s="65">
        <v>0</v>
      </c>
      <c r="BO59" s="65">
        <v>0</v>
      </c>
      <c r="BP59" s="65">
        <v>0</v>
      </c>
      <c r="BQ59" s="65">
        <v>0</v>
      </c>
      <c r="BR59" s="65">
        <v>0</v>
      </c>
      <c r="BS59" s="65">
        <v>112.8</v>
      </c>
      <c r="BT59" s="65">
        <v>0</v>
      </c>
      <c r="BU59" s="65">
        <v>0</v>
      </c>
      <c r="BV59" s="65">
        <v>474.94400000000002</v>
      </c>
      <c r="BW59" s="65">
        <v>452.32799999999997</v>
      </c>
      <c r="BX59" s="65">
        <v>0</v>
      </c>
      <c r="BY59" s="65">
        <v>0</v>
      </c>
      <c r="BZ59" s="65">
        <v>0</v>
      </c>
      <c r="CA59" s="65">
        <v>94.9</v>
      </c>
      <c r="CB59" s="65">
        <v>0</v>
      </c>
      <c r="CC59" s="65">
        <v>0</v>
      </c>
      <c r="CD59" s="65">
        <v>0</v>
      </c>
      <c r="CE59" s="65">
        <v>189.14999999999998</v>
      </c>
      <c r="CF59" s="66">
        <v>0</v>
      </c>
      <c r="CG59" s="47">
        <v>50</v>
      </c>
    </row>
    <row r="60" spans="1:85">
      <c r="A60" s="51">
        <f t="shared" si="4"/>
        <v>158.30000000000001</v>
      </c>
      <c r="B60" s="64">
        <v>1</v>
      </c>
      <c r="C60" s="65">
        <v>0</v>
      </c>
      <c r="D60" s="65">
        <v>0</v>
      </c>
      <c r="E60" s="65">
        <v>0</v>
      </c>
      <c r="F60" s="65">
        <v>0</v>
      </c>
      <c r="G60" s="65">
        <v>0</v>
      </c>
      <c r="H60" s="65">
        <v>0</v>
      </c>
      <c r="I60" s="65">
        <v>0</v>
      </c>
      <c r="J60" s="65">
        <v>0</v>
      </c>
      <c r="K60" s="65">
        <v>0</v>
      </c>
      <c r="L60" s="65">
        <v>0</v>
      </c>
      <c r="M60" s="65">
        <v>0</v>
      </c>
      <c r="N60" s="65">
        <v>0</v>
      </c>
      <c r="O60" s="65">
        <v>0</v>
      </c>
      <c r="P60" s="65">
        <v>0</v>
      </c>
      <c r="Q60" s="65">
        <v>0</v>
      </c>
      <c r="R60" s="65">
        <v>0</v>
      </c>
      <c r="S60" s="65">
        <v>0</v>
      </c>
      <c r="T60" s="65">
        <v>0</v>
      </c>
      <c r="U60" s="65">
        <v>0</v>
      </c>
      <c r="V60" s="65">
        <v>0</v>
      </c>
      <c r="W60" s="65">
        <v>0</v>
      </c>
      <c r="X60" s="65">
        <v>0</v>
      </c>
      <c r="Y60" s="65">
        <v>0</v>
      </c>
      <c r="Z60" s="65">
        <v>36.1</v>
      </c>
      <c r="AA60" s="65">
        <v>67.099999999999994</v>
      </c>
      <c r="AB60" s="65">
        <v>86.9</v>
      </c>
      <c r="AC60" s="65">
        <v>94.5</v>
      </c>
      <c r="AD60" s="65">
        <v>81.099999999999994</v>
      </c>
      <c r="AE60" s="65">
        <v>114.13333333333334</v>
      </c>
      <c r="AF60" s="65">
        <v>109.3</v>
      </c>
      <c r="AG60" s="65">
        <v>131.30000000000001</v>
      </c>
      <c r="AH60" s="65">
        <v>254.6</v>
      </c>
      <c r="AI60" s="65">
        <v>432.8</v>
      </c>
      <c r="AJ60" s="65">
        <v>357.25</v>
      </c>
      <c r="AK60" s="65">
        <v>124.3</v>
      </c>
      <c r="AL60" s="65">
        <v>124.3</v>
      </c>
      <c r="AM60" s="65">
        <v>231.1</v>
      </c>
      <c r="AN60" s="65">
        <v>391.4</v>
      </c>
      <c r="AO60" s="65">
        <v>452.7</v>
      </c>
      <c r="AP60" s="65">
        <v>509.5</v>
      </c>
      <c r="AQ60" s="65">
        <v>372.3</v>
      </c>
      <c r="AR60" s="65">
        <v>0</v>
      </c>
      <c r="AS60" s="65">
        <v>0</v>
      </c>
      <c r="AT60" s="65">
        <v>0</v>
      </c>
      <c r="AU60" s="65">
        <v>0</v>
      </c>
      <c r="AV60" s="65">
        <v>0</v>
      </c>
      <c r="AW60" s="65">
        <v>0</v>
      </c>
      <c r="AX60" s="65">
        <v>0</v>
      </c>
      <c r="AY60" s="65">
        <v>0</v>
      </c>
      <c r="AZ60" s="65">
        <v>0</v>
      </c>
      <c r="BA60" s="65">
        <v>0</v>
      </c>
      <c r="BB60" s="65">
        <v>59.15</v>
      </c>
      <c r="BC60" s="65">
        <v>59.15</v>
      </c>
      <c r="BD60" s="65">
        <v>0</v>
      </c>
      <c r="BE60" s="65">
        <v>0</v>
      </c>
      <c r="BF60" s="65">
        <v>0</v>
      </c>
      <c r="BG60" s="65">
        <v>0</v>
      </c>
      <c r="BH60" s="65">
        <v>0</v>
      </c>
      <c r="BI60" s="65">
        <v>0</v>
      </c>
      <c r="BJ60" s="65">
        <v>0</v>
      </c>
      <c r="BK60" s="65">
        <v>59.15</v>
      </c>
      <c r="BL60" s="65">
        <v>76.099999999999994</v>
      </c>
      <c r="BM60" s="65">
        <v>50.2</v>
      </c>
      <c r="BN60" s="65">
        <v>0</v>
      </c>
      <c r="BO60" s="65">
        <v>0</v>
      </c>
      <c r="BP60" s="65">
        <v>0</v>
      </c>
      <c r="BQ60" s="65">
        <v>0</v>
      </c>
      <c r="BR60" s="65">
        <v>0</v>
      </c>
      <c r="BS60" s="65">
        <v>88.85</v>
      </c>
      <c r="BT60" s="65">
        <v>0</v>
      </c>
      <c r="BU60" s="65">
        <v>0</v>
      </c>
      <c r="BV60" s="65">
        <v>453.59899999999999</v>
      </c>
      <c r="BW60" s="65">
        <v>431.99900000000002</v>
      </c>
      <c r="BX60" s="65">
        <v>0</v>
      </c>
      <c r="BY60" s="65">
        <v>0</v>
      </c>
      <c r="BZ60" s="65">
        <v>0</v>
      </c>
      <c r="CA60" s="65">
        <v>90.75</v>
      </c>
      <c r="CB60" s="65">
        <v>0</v>
      </c>
      <c r="CC60" s="65">
        <v>0</v>
      </c>
      <c r="CD60" s="65">
        <v>0</v>
      </c>
      <c r="CE60" s="65">
        <v>177.6</v>
      </c>
      <c r="CF60" s="66">
        <v>0</v>
      </c>
      <c r="CG60" s="47">
        <v>51</v>
      </c>
    </row>
    <row r="61" spans="1:85">
      <c r="A61" s="51">
        <f t="shared" si="4"/>
        <v>157.30000000000001</v>
      </c>
      <c r="B61" s="64">
        <v>1</v>
      </c>
      <c r="C61" s="65">
        <v>0</v>
      </c>
      <c r="D61" s="65">
        <v>0</v>
      </c>
      <c r="E61" s="65">
        <v>0</v>
      </c>
      <c r="F61" s="65">
        <v>0</v>
      </c>
      <c r="G61" s="65">
        <v>0</v>
      </c>
      <c r="H61" s="65">
        <v>0</v>
      </c>
      <c r="I61" s="65">
        <v>0</v>
      </c>
      <c r="J61" s="65">
        <v>0</v>
      </c>
      <c r="K61" s="65">
        <v>0</v>
      </c>
      <c r="L61" s="65">
        <v>0</v>
      </c>
      <c r="M61" s="65">
        <v>0</v>
      </c>
      <c r="N61" s="65">
        <v>0</v>
      </c>
      <c r="O61" s="65">
        <v>0</v>
      </c>
      <c r="P61" s="65">
        <v>0</v>
      </c>
      <c r="Q61" s="65">
        <v>0</v>
      </c>
      <c r="R61" s="65">
        <v>0</v>
      </c>
      <c r="S61" s="65">
        <v>0</v>
      </c>
      <c r="T61" s="65">
        <v>0</v>
      </c>
      <c r="U61" s="65">
        <v>0</v>
      </c>
      <c r="V61" s="65">
        <v>0</v>
      </c>
      <c r="W61" s="65">
        <v>0</v>
      </c>
      <c r="X61" s="65">
        <v>0</v>
      </c>
      <c r="Y61" s="65">
        <v>0</v>
      </c>
      <c r="Z61" s="65">
        <v>28.1</v>
      </c>
      <c r="AA61" s="65">
        <v>61.6</v>
      </c>
      <c r="AB61" s="65">
        <v>66.400000000000006</v>
      </c>
      <c r="AC61" s="65">
        <v>73.5</v>
      </c>
      <c r="AD61" s="65">
        <v>70.599999999999994</v>
      </c>
      <c r="AE61" s="65">
        <v>87.833333333333329</v>
      </c>
      <c r="AF61" s="65">
        <v>101.9</v>
      </c>
      <c r="AG61" s="65">
        <v>127.2</v>
      </c>
      <c r="AH61" s="65">
        <v>247.9</v>
      </c>
      <c r="AI61" s="65">
        <v>425.4</v>
      </c>
      <c r="AJ61" s="65">
        <v>307.85000000000002</v>
      </c>
      <c r="AK61" s="65">
        <v>83.6</v>
      </c>
      <c r="AL61" s="65">
        <v>83.6</v>
      </c>
      <c r="AM61" s="65">
        <v>177.7</v>
      </c>
      <c r="AN61" s="65">
        <v>262.8</v>
      </c>
      <c r="AO61" s="65">
        <v>423.9</v>
      </c>
      <c r="AP61" s="65">
        <v>493.7</v>
      </c>
      <c r="AQ61" s="65">
        <v>364.1</v>
      </c>
      <c r="AR61" s="65">
        <v>0</v>
      </c>
      <c r="AS61" s="65">
        <v>0</v>
      </c>
      <c r="AT61" s="65">
        <v>0</v>
      </c>
      <c r="AU61" s="65">
        <v>0</v>
      </c>
      <c r="AV61" s="65">
        <v>0</v>
      </c>
      <c r="AW61" s="65">
        <v>0</v>
      </c>
      <c r="AX61" s="65">
        <v>0</v>
      </c>
      <c r="AY61" s="65">
        <v>0</v>
      </c>
      <c r="AZ61" s="65">
        <v>0</v>
      </c>
      <c r="BA61" s="65">
        <v>0</v>
      </c>
      <c r="BB61" s="65">
        <v>43.599999999999994</v>
      </c>
      <c r="BC61" s="65">
        <v>43.599999999999994</v>
      </c>
      <c r="BD61" s="65">
        <v>0</v>
      </c>
      <c r="BE61" s="65">
        <v>0</v>
      </c>
      <c r="BF61" s="65">
        <v>0</v>
      </c>
      <c r="BG61" s="65">
        <v>0</v>
      </c>
      <c r="BH61" s="65">
        <v>0</v>
      </c>
      <c r="BI61" s="65">
        <v>0</v>
      </c>
      <c r="BJ61" s="65">
        <v>0</v>
      </c>
      <c r="BK61" s="65">
        <v>43.599999999999994</v>
      </c>
      <c r="BL61" s="65">
        <v>62.3</v>
      </c>
      <c r="BM61" s="65">
        <v>44.8</v>
      </c>
      <c r="BN61" s="65">
        <v>0</v>
      </c>
      <c r="BO61" s="65">
        <v>0</v>
      </c>
      <c r="BP61" s="65">
        <v>0</v>
      </c>
      <c r="BQ61" s="65">
        <v>0</v>
      </c>
      <c r="BR61" s="65">
        <v>0</v>
      </c>
      <c r="BS61" s="65">
        <v>20.8</v>
      </c>
      <c r="BT61" s="65">
        <v>0</v>
      </c>
      <c r="BU61" s="65">
        <v>0</v>
      </c>
      <c r="BV61" s="65">
        <v>435.53899999999999</v>
      </c>
      <c r="BW61" s="65">
        <v>414.79899999999998</v>
      </c>
      <c r="BX61" s="65">
        <v>0</v>
      </c>
      <c r="BY61" s="65">
        <v>0</v>
      </c>
      <c r="BZ61" s="65">
        <v>0</v>
      </c>
      <c r="CA61" s="65">
        <v>86.5</v>
      </c>
      <c r="CB61" s="65">
        <v>0</v>
      </c>
      <c r="CC61" s="65">
        <v>0</v>
      </c>
      <c r="CD61" s="65">
        <v>0</v>
      </c>
      <c r="CE61" s="65">
        <v>166.65</v>
      </c>
      <c r="CF61" s="66">
        <v>0</v>
      </c>
      <c r="CG61" s="47">
        <v>52</v>
      </c>
    </row>
    <row r="62" spans="1:85">
      <c r="A62" s="51">
        <f t="shared" si="4"/>
        <v>156.30000000000001</v>
      </c>
      <c r="B62" s="64">
        <v>1</v>
      </c>
      <c r="C62" s="65">
        <v>0</v>
      </c>
      <c r="D62" s="65">
        <v>0</v>
      </c>
      <c r="E62" s="65">
        <v>0</v>
      </c>
      <c r="F62" s="65">
        <v>0</v>
      </c>
      <c r="G62" s="65">
        <v>0</v>
      </c>
      <c r="H62" s="65">
        <v>0</v>
      </c>
      <c r="I62" s="65">
        <v>0</v>
      </c>
      <c r="J62" s="65">
        <v>0</v>
      </c>
      <c r="K62" s="65">
        <v>0</v>
      </c>
      <c r="L62" s="65">
        <v>0</v>
      </c>
      <c r="M62" s="65">
        <v>0</v>
      </c>
      <c r="N62" s="65">
        <v>0</v>
      </c>
      <c r="O62" s="65">
        <v>0</v>
      </c>
      <c r="P62" s="65">
        <v>0</v>
      </c>
      <c r="Q62" s="65">
        <v>0</v>
      </c>
      <c r="R62" s="65">
        <v>0</v>
      </c>
      <c r="S62" s="65">
        <v>0</v>
      </c>
      <c r="T62" s="65">
        <v>0</v>
      </c>
      <c r="U62" s="65">
        <v>0</v>
      </c>
      <c r="V62" s="65">
        <v>0</v>
      </c>
      <c r="W62" s="65">
        <v>0</v>
      </c>
      <c r="X62" s="65">
        <v>0</v>
      </c>
      <c r="Y62" s="65">
        <v>0</v>
      </c>
      <c r="Z62" s="65">
        <v>0</v>
      </c>
      <c r="AA62" s="65">
        <v>55.2</v>
      </c>
      <c r="AB62" s="65">
        <v>54.4</v>
      </c>
      <c r="AC62" s="65">
        <v>59.5</v>
      </c>
      <c r="AD62" s="65">
        <v>63.6</v>
      </c>
      <c r="AE62" s="65">
        <v>80.2</v>
      </c>
      <c r="AF62" s="65">
        <v>96</v>
      </c>
      <c r="AG62" s="65">
        <v>119.3</v>
      </c>
      <c r="AH62" s="65">
        <v>245</v>
      </c>
      <c r="AI62" s="65">
        <v>416.3</v>
      </c>
      <c r="AJ62" s="65">
        <v>251.9</v>
      </c>
      <c r="AK62" s="65">
        <v>69.599999999999994</v>
      </c>
      <c r="AL62" s="65">
        <v>69.599999999999994</v>
      </c>
      <c r="AM62" s="65">
        <v>138.80000000000001</v>
      </c>
      <c r="AN62" s="65">
        <v>138.19999999999999</v>
      </c>
      <c r="AO62" s="65">
        <v>399</v>
      </c>
      <c r="AP62" s="65">
        <v>478.9</v>
      </c>
      <c r="AQ62" s="65">
        <v>351</v>
      </c>
      <c r="AR62" s="65">
        <v>0</v>
      </c>
      <c r="AS62" s="65">
        <v>0</v>
      </c>
      <c r="AT62" s="65">
        <v>0</v>
      </c>
      <c r="AU62" s="65">
        <v>0</v>
      </c>
      <c r="AV62" s="65">
        <v>0</v>
      </c>
      <c r="AW62" s="65">
        <v>0</v>
      </c>
      <c r="AX62" s="65">
        <v>0</v>
      </c>
      <c r="AY62" s="65">
        <v>0</v>
      </c>
      <c r="AZ62" s="65">
        <v>0</v>
      </c>
      <c r="BA62" s="65">
        <v>0</v>
      </c>
      <c r="BB62" s="65">
        <v>26.55</v>
      </c>
      <c r="BC62" s="65">
        <v>26.55</v>
      </c>
      <c r="BD62" s="65">
        <v>0</v>
      </c>
      <c r="BE62" s="65">
        <v>0</v>
      </c>
      <c r="BF62" s="65">
        <v>0</v>
      </c>
      <c r="BG62" s="65">
        <v>0</v>
      </c>
      <c r="BH62" s="65">
        <v>0</v>
      </c>
      <c r="BI62" s="65">
        <v>0</v>
      </c>
      <c r="BJ62" s="65">
        <v>0</v>
      </c>
      <c r="BK62" s="65">
        <v>26.55</v>
      </c>
      <c r="BL62" s="65">
        <v>26.6</v>
      </c>
      <c r="BM62" s="65">
        <v>38</v>
      </c>
      <c r="BN62" s="65">
        <v>0</v>
      </c>
      <c r="BO62" s="65">
        <v>0</v>
      </c>
      <c r="BP62" s="65">
        <v>0</v>
      </c>
      <c r="BQ62" s="65">
        <v>0</v>
      </c>
      <c r="BR62" s="65">
        <v>0</v>
      </c>
      <c r="BS62" s="65">
        <v>0</v>
      </c>
      <c r="BT62" s="65">
        <v>0</v>
      </c>
      <c r="BU62" s="65">
        <v>0</v>
      </c>
      <c r="BV62" s="65">
        <v>387.464</v>
      </c>
      <c r="BW62" s="65">
        <v>369.01400000000001</v>
      </c>
      <c r="BX62" s="65">
        <v>0</v>
      </c>
      <c r="BY62" s="65">
        <v>0</v>
      </c>
      <c r="BZ62" s="65">
        <v>0</v>
      </c>
      <c r="CA62" s="65">
        <v>82.65</v>
      </c>
      <c r="CB62" s="65">
        <v>0</v>
      </c>
      <c r="CC62" s="65">
        <v>0</v>
      </c>
      <c r="CD62" s="65">
        <v>0</v>
      </c>
      <c r="CE62" s="65">
        <v>158.85000000000002</v>
      </c>
      <c r="CF62" s="66">
        <v>0</v>
      </c>
      <c r="CG62" s="47">
        <v>53</v>
      </c>
    </row>
    <row r="63" spans="1:85">
      <c r="A63" s="51">
        <f t="shared" si="4"/>
        <v>155.30000000000001</v>
      </c>
      <c r="B63" s="64">
        <v>1</v>
      </c>
      <c r="C63" s="65">
        <v>0</v>
      </c>
      <c r="D63" s="65">
        <v>0</v>
      </c>
      <c r="E63" s="65">
        <v>0</v>
      </c>
      <c r="F63" s="65">
        <v>0</v>
      </c>
      <c r="G63" s="65">
        <v>0</v>
      </c>
      <c r="H63" s="65">
        <v>0</v>
      </c>
      <c r="I63" s="65">
        <v>0</v>
      </c>
      <c r="J63" s="65">
        <v>0</v>
      </c>
      <c r="K63" s="65">
        <v>0</v>
      </c>
      <c r="L63" s="65">
        <v>0</v>
      </c>
      <c r="M63" s="65">
        <v>0</v>
      </c>
      <c r="N63" s="65">
        <v>0</v>
      </c>
      <c r="O63" s="65">
        <v>0</v>
      </c>
      <c r="P63" s="65">
        <v>0</v>
      </c>
      <c r="Q63" s="65">
        <v>0</v>
      </c>
      <c r="R63" s="65">
        <v>0</v>
      </c>
      <c r="S63" s="65">
        <v>0</v>
      </c>
      <c r="T63" s="65">
        <v>0</v>
      </c>
      <c r="U63" s="65">
        <v>0</v>
      </c>
      <c r="V63" s="65">
        <v>0</v>
      </c>
      <c r="W63" s="65">
        <v>0</v>
      </c>
      <c r="X63" s="65">
        <v>0</v>
      </c>
      <c r="Y63" s="65">
        <v>0</v>
      </c>
      <c r="Z63" s="65">
        <v>0</v>
      </c>
      <c r="AA63" s="65">
        <v>48.8</v>
      </c>
      <c r="AB63" s="65">
        <v>26.3</v>
      </c>
      <c r="AC63" s="65">
        <v>36.1</v>
      </c>
      <c r="AD63" s="65">
        <v>57</v>
      </c>
      <c r="AE63" s="65">
        <v>74.033333333333331</v>
      </c>
      <c r="AF63" s="65">
        <v>87</v>
      </c>
      <c r="AG63" s="65">
        <v>106.6</v>
      </c>
      <c r="AH63" s="65">
        <v>214.4</v>
      </c>
      <c r="AI63" s="65">
        <v>413.2</v>
      </c>
      <c r="AJ63" s="65">
        <v>187.3</v>
      </c>
      <c r="AK63" s="65">
        <v>63.8</v>
      </c>
      <c r="AL63" s="65">
        <v>63.8</v>
      </c>
      <c r="AM63" s="65">
        <v>120.75</v>
      </c>
      <c r="AN63" s="65">
        <v>128</v>
      </c>
      <c r="AO63" s="65">
        <v>367.7</v>
      </c>
      <c r="AP63" s="65">
        <v>454.7</v>
      </c>
      <c r="AQ63" s="65">
        <v>331.4</v>
      </c>
      <c r="AR63" s="65">
        <v>0</v>
      </c>
      <c r="AS63" s="65">
        <v>0</v>
      </c>
      <c r="AT63" s="65">
        <v>0</v>
      </c>
      <c r="AU63" s="65">
        <v>0</v>
      </c>
      <c r="AV63" s="65">
        <v>0</v>
      </c>
      <c r="AW63" s="65">
        <v>0</v>
      </c>
      <c r="AX63" s="65">
        <v>0</v>
      </c>
      <c r="AY63" s="65">
        <v>0</v>
      </c>
      <c r="AZ63" s="65">
        <v>0</v>
      </c>
      <c r="BA63" s="65">
        <v>0</v>
      </c>
      <c r="BB63" s="65">
        <v>0</v>
      </c>
      <c r="BC63" s="65">
        <v>0</v>
      </c>
      <c r="BD63" s="65">
        <v>0</v>
      </c>
      <c r="BE63" s="65">
        <v>0</v>
      </c>
      <c r="BF63" s="65">
        <v>0</v>
      </c>
      <c r="BG63" s="65">
        <v>0</v>
      </c>
      <c r="BH63" s="65">
        <v>0</v>
      </c>
      <c r="BI63" s="65">
        <v>0</v>
      </c>
      <c r="BJ63" s="65">
        <v>0</v>
      </c>
      <c r="BK63" s="65">
        <v>0</v>
      </c>
      <c r="BL63" s="65">
        <v>20</v>
      </c>
      <c r="BM63" s="65">
        <v>29.5</v>
      </c>
      <c r="BN63" s="65">
        <v>0</v>
      </c>
      <c r="BO63" s="65">
        <v>0</v>
      </c>
      <c r="BP63" s="65">
        <v>0</v>
      </c>
      <c r="BQ63" s="65">
        <v>0</v>
      </c>
      <c r="BR63" s="65">
        <v>0</v>
      </c>
      <c r="BS63" s="65">
        <v>0</v>
      </c>
      <c r="BT63" s="65">
        <v>0</v>
      </c>
      <c r="BU63" s="65">
        <v>0</v>
      </c>
      <c r="BV63" s="65">
        <v>331.166</v>
      </c>
      <c r="BW63" s="65">
        <v>315.39600000000002</v>
      </c>
      <c r="BX63" s="65">
        <v>0</v>
      </c>
      <c r="BY63" s="65">
        <v>0</v>
      </c>
      <c r="BZ63" s="65">
        <v>0</v>
      </c>
      <c r="CA63" s="65">
        <v>79.349999999999994</v>
      </c>
      <c r="CB63" s="65">
        <v>0</v>
      </c>
      <c r="CC63" s="65">
        <v>0</v>
      </c>
      <c r="CD63" s="65">
        <v>0</v>
      </c>
      <c r="CE63" s="65">
        <v>144.70000000000002</v>
      </c>
      <c r="CF63" s="66">
        <v>0</v>
      </c>
      <c r="CG63" s="47">
        <v>54</v>
      </c>
    </row>
    <row r="64" spans="1:85">
      <c r="A64" s="51">
        <f t="shared" si="4"/>
        <v>154.30000000000001</v>
      </c>
      <c r="B64" s="64">
        <v>1</v>
      </c>
      <c r="C64" s="65">
        <v>0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32.200000000000003</v>
      </c>
      <c r="AB64" s="65">
        <v>20</v>
      </c>
      <c r="AC64" s="65">
        <v>23.9</v>
      </c>
      <c r="AD64" s="65">
        <v>47.7</v>
      </c>
      <c r="AE64" s="65">
        <v>66.333333333333343</v>
      </c>
      <c r="AF64" s="65">
        <v>82.2</v>
      </c>
      <c r="AG64" s="65">
        <v>86.6</v>
      </c>
      <c r="AH64" s="65">
        <v>144.19999999999999</v>
      </c>
      <c r="AI64" s="65">
        <v>356.5</v>
      </c>
      <c r="AJ64" s="65">
        <v>138.25</v>
      </c>
      <c r="AK64" s="65">
        <v>57.8</v>
      </c>
      <c r="AL64" s="65">
        <v>57.8</v>
      </c>
      <c r="AM64" s="65">
        <v>100.55</v>
      </c>
      <c r="AN64" s="65">
        <v>121.7</v>
      </c>
      <c r="AO64" s="65">
        <v>319.2</v>
      </c>
      <c r="AP64" s="65">
        <v>352.3</v>
      </c>
      <c r="AQ64" s="65">
        <v>269.60000000000002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  <c r="BJ64" s="65">
        <v>0</v>
      </c>
      <c r="BK64" s="65">
        <v>0</v>
      </c>
      <c r="BL64" s="65">
        <v>0</v>
      </c>
      <c r="BM64" s="65">
        <v>20</v>
      </c>
      <c r="BN64" s="65">
        <v>0</v>
      </c>
      <c r="BO64" s="65">
        <v>0</v>
      </c>
      <c r="BP64" s="65">
        <v>0</v>
      </c>
      <c r="BQ64" s="65">
        <v>0</v>
      </c>
      <c r="BR64" s="65">
        <v>0</v>
      </c>
      <c r="BS64" s="65">
        <v>0</v>
      </c>
      <c r="BT64" s="65">
        <v>0</v>
      </c>
      <c r="BU64" s="65">
        <v>0</v>
      </c>
      <c r="BV64" s="65">
        <v>303.197</v>
      </c>
      <c r="BW64" s="65">
        <v>288.75900000000001</v>
      </c>
      <c r="BX64" s="65">
        <v>0</v>
      </c>
      <c r="BY64" s="65">
        <v>0</v>
      </c>
      <c r="BZ64" s="65">
        <v>0</v>
      </c>
      <c r="CA64" s="65">
        <v>76.099999999999994</v>
      </c>
      <c r="CB64" s="65">
        <v>0</v>
      </c>
      <c r="CC64" s="65">
        <v>0</v>
      </c>
      <c r="CD64" s="65">
        <v>0</v>
      </c>
      <c r="CE64" s="65">
        <v>122.2</v>
      </c>
      <c r="CF64" s="66">
        <v>0</v>
      </c>
      <c r="CG64" s="47">
        <v>55</v>
      </c>
    </row>
    <row r="65" spans="1:85">
      <c r="A65" s="51">
        <f t="shared" si="4"/>
        <v>153.30000000000001</v>
      </c>
      <c r="B65" s="64">
        <v>1</v>
      </c>
      <c r="C65" s="65">
        <v>0</v>
      </c>
      <c r="D65" s="65">
        <v>0</v>
      </c>
      <c r="E65" s="65">
        <v>0</v>
      </c>
      <c r="F65" s="65">
        <v>0</v>
      </c>
      <c r="G65" s="65">
        <v>0</v>
      </c>
      <c r="H65" s="65">
        <v>0</v>
      </c>
      <c r="I65" s="65">
        <v>0</v>
      </c>
      <c r="J65" s="65">
        <v>0</v>
      </c>
      <c r="K65" s="65">
        <v>0</v>
      </c>
      <c r="L65" s="65">
        <v>0</v>
      </c>
      <c r="M65" s="65">
        <v>0</v>
      </c>
      <c r="N65" s="65">
        <v>0</v>
      </c>
      <c r="O65" s="65">
        <v>0</v>
      </c>
      <c r="P65" s="65">
        <v>0</v>
      </c>
      <c r="Q65" s="65">
        <v>0</v>
      </c>
      <c r="R65" s="65">
        <v>0</v>
      </c>
      <c r="S65" s="65">
        <v>0</v>
      </c>
      <c r="T65" s="65">
        <v>0</v>
      </c>
      <c r="U65" s="65">
        <v>0</v>
      </c>
      <c r="V65" s="65">
        <v>0</v>
      </c>
      <c r="W65" s="65">
        <v>0</v>
      </c>
      <c r="X65" s="65">
        <v>0</v>
      </c>
      <c r="Y65" s="65">
        <v>0</v>
      </c>
      <c r="Z65" s="65">
        <v>0</v>
      </c>
      <c r="AA65" s="65">
        <v>0</v>
      </c>
      <c r="AB65" s="65">
        <v>0</v>
      </c>
      <c r="AC65" s="65">
        <v>21</v>
      </c>
      <c r="AD65" s="65">
        <v>29.5</v>
      </c>
      <c r="AE65" s="65">
        <v>57.666666666666664</v>
      </c>
      <c r="AF65" s="65">
        <v>72</v>
      </c>
      <c r="AG65" s="65">
        <v>69.5</v>
      </c>
      <c r="AH65" s="65">
        <v>73</v>
      </c>
      <c r="AI65" s="65">
        <v>204.8</v>
      </c>
      <c r="AJ65" s="65">
        <v>120.30000000000001</v>
      </c>
      <c r="AK65" s="65">
        <v>53.6</v>
      </c>
      <c r="AL65" s="65">
        <v>53.6</v>
      </c>
      <c r="AM65" s="65">
        <v>91.5</v>
      </c>
      <c r="AN65" s="65">
        <v>115.9</v>
      </c>
      <c r="AO65" s="65">
        <v>275</v>
      </c>
      <c r="AP65" s="65">
        <v>283.89999999999998</v>
      </c>
      <c r="AQ65" s="65">
        <v>232.8</v>
      </c>
      <c r="AR65" s="65">
        <v>0</v>
      </c>
      <c r="AS65" s="65">
        <v>0</v>
      </c>
      <c r="AT65" s="65">
        <v>0</v>
      </c>
      <c r="AU65" s="65">
        <v>0</v>
      </c>
      <c r="AV65" s="65">
        <v>0</v>
      </c>
      <c r="AW65" s="65">
        <v>0</v>
      </c>
      <c r="AX65" s="65">
        <v>0</v>
      </c>
      <c r="AY65" s="65">
        <v>0</v>
      </c>
      <c r="AZ65" s="65">
        <v>0</v>
      </c>
      <c r="BA65" s="65">
        <v>0</v>
      </c>
      <c r="BB65" s="65">
        <v>0</v>
      </c>
      <c r="BC65" s="65">
        <v>0</v>
      </c>
      <c r="BD65" s="65">
        <v>0</v>
      </c>
      <c r="BE65" s="65">
        <v>0</v>
      </c>
      <c r="BF65" s="65">
        <v>0</v>
      </c>
      <c r="BG65" s="65">
        <v>0</v>
      </c>
      <c r="BH65" s="65">
        <v>0</v>
      </c>
      <c r="BI65" s="65">
        <v>0</v>
      </c>
      <c r="BJ65" s="65">
        <v>0</v>
      </c>
      <c r="BK65" s="65">
        <v>0</v>
      </c>
      <c r="BL65" s="65">
        <v>0</v>
      </c>
      <c r="BM65" s="65">
        <v>0</v>
      </c>
      <c r="BN65" s="65">
        <v>0</v>
      </c>
      <c r="BO65" s="65">
        <v>0</v>
      </c>
      <c r="BP65" s="65">
        <v>0</v>
      </c>
      <c r="BQ65" s="65">
        <v>0</v>
      </c>
      <c r="BR65" s="65">
        <v>0</v>
      </c>
      <c r="BS65" s="65">
        <v>0</v>
      </c>
      <c r="BT65" s="65">
        <v>0</v>
      </c>
      <c r="BU65" s="65">
        <v>0</v>
      </c>
      <c r="BV65" s="65">
        <v>223.42699999999999</v>
      </c>
      <c r="BW65" s="65">
        <v>212.78700000000001</v>
      </c>
      <c r="BX65" s="65">
        <v>0</v>
      </c>
      <c r="BY65" s="65">
        <v>0</v>
      </c>
      <c r="BZ65" s="65">
        <v>0</v>
      </c>
      <c r="CA65" s="65">
        <v>65.599999999999994</v>
      </c>
      <c r="CB65" s="65">
        <v>0</v>
      </c>
      <c r="CC65" s="65">
        <v>0</v>
      </c>
      <c r="CD65" s="65">
        <v>0</v>
      </c>
      <c r="CE65" s="65">
        <v>106.5</v>
      </c>
      <c r="CF65" s="66">
        <v>0</v>
      </c>
      <c r="CG65" s="47">
        <v>56</v>
      </c>
    </row>
    <row r="66" spans="1:85">
      <c r="A66" s="51">
        <f t="shared" si="4"/>
        <v>152.30000000000001</v>
      </c>
      <c r="B66" s="64">
        <v>1</v>
      </c>
      <c r="C66" s="65">
        <v>0</v>
      </c>
      <c r="D66" s="65">
        <v>0</v>
      </c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>
        <v>0</v>
      </c>
      <c r="N66" s="65">
        <v>0</v>
      </c>
      <c r="O66" s="65">
        <v>0</v>
      </c>
      <c r="P66" s="65">
        <v>0</v>
      </c>
      <c r="Q66" s="65">
        <v>0</v>
      </c>
      <c r="R66" s="65">
        <v>0</v>
      </c>
      <c r="S66" s="65">
        <v>0</v>
      </c>
      <c r="T66" s="65">
        <v>0</v>
      </c>
      <c r="U66" s="65">
        <v>0</v>
      </c>
      <c r="V66" s="65">
        <v>0</v>
      </c>
      <c r="W66" s="65">
        <v>0</v>
      </c>
      <c r="X66" s="65">
        <v>0</v>
      </c>
      <c r="Y66" s="65">
        <v>0</v>
      </c>
      <c r="Z66" s="65">
        <v>0</v>
      </c>
      <c r="AA66" s="65">
        <v>0</v>
      </c>
      <c r="AB66" s="65">
        <v>0</v>
      </c>
      <c r="AC66" s="65">
        <v>0</v>
      </c>
      <c r="AD66" s="65">
        <v>0</v>
      </c>
      <c r="AE66" s="65">
        <v>35.43333333333333</v>
      </c>
      <c r="AF66" s="65">
        <v>25.7</v>
      </c>
      <c r="AG66" s="65">
        <v>43.2</v>
      </c>
      <c r="AH66" s="65">
        <v>44.3</v>
      </c>
      <c r="AI66" s="65">
        <v>77.599999999999994</v>
      </c>
      <c r="AJ66" s="65">
        <v>111.6</v>
      </c>
      <c r="AK66" s="65">
        <v>49.8</v>
      </c>
      <c r="AL66" s="65">
        <v>49.8</v>
      </c>
      <c r="AM66" s="65">
        <v>84.5</v>
      </c>
      <c r="AN66" s="65">
        <v>109.9</v>
      </c>
      <c r="AO66" s="65">
        <v>218.2</v>
      </c>
      <c r="AP66" s="65">
        <v>191.5</v>
      </c>
      <c r="AQ66" s="65">
        <v>170.2</v>
      </c>
      <c r="AR66" s="65">
        <v>0</v>
      </c>
      <c r="AS66" s="65">
        <v>0</v>
      </c>
      <c r="AT66" s="65">
        <v>0</v>
      </c>
      <c r="AU66" s="65">
        <v>0</v>
      </c>
      <c r="AV66" s="65">
        <v>0</v>
      </c>
      <c r="AW66" s="65">
        <v>0</v>
      </c>
      <c r="AX66" s="65">
        <v>0</v>
      </c>
      <c r="AY66" s="65">
        <v>0</v>
      </c>
      <c r="AZ66" s="65">
        <v>0</v>
      </c>
      <c r="BA66" s="65">
        <v>0</v>
      </c>
      <c r="BB66" s="65">
        <v>0</v>
      </c>
      <c r="BC66" s="65">
        <v>0</v>
      </c>
      <c r="BD66" s="65">
        <v>0</v>
      </c>
      <c r="BE66" s="65">
        <v>0</v>
      </c>
      <c r="BF66" s="65">
        <v>0</v>
      </c>
      <c r="BG66" s="65">
        <v>0</v>
      </c>
      <c r="BH66" s="65">
        <v>0</v>
      </c>
      <c r="BI66" s="65">
        <v>0</v>
      </c>
      <c r="BJ66" s="65">
        <v>0</v>
      </c>
      <c r="BK66" s="65">
        <v>0</v>
      </c>
      <c r="BL66" s="65">
        <v>0</v>
      </c>
      <c r="BM66" s="65">
        <v>0</v>
      </c>
      <c r="BN66" s="65">
        <v>0</v>
      </c>
      <c r="BO66" s="65">
        <v>0</v>
      </c>
      <c r="BP66" s="65">
        <v>0</v>
      </c>
      <c r="BQ66" s="65">
        <v>0</v>
      </c>
      <c r="BR66" s="65">
        <v>0</v>
      </c>
      <c r="BS66" s="65">
        <v>0</v>
      </c>
      <c r="BT66" s="65">
        <v>0</v>
      </c>
      <c r="BU66" s="65">
        <v>0</v>
      </c>
      <c r="BV66" s="65">
        <v>188.05500000000001</v>
      </c>
      <c r="BW66" s="65">
        <v>179.1</v>
      </c>
      <c r="BX66" s="65">
        <v>0</v>
      </c>
      <c r="BY66" s="65">
        <v>0</v>
      </c>
      <c r="BZ66" s="65">
        <v>0</v>
      </c>
      <c r="CA66" s="65">
        <v>30</v>
      </c>
      <c r="CB66" s="65">
        <v>0</v>
      </c>
      <c r="CC66" s="65">
        <v>0</v>
      </c>
      <c r="CD66" s="65">
        <v>0</v>
      </c>
      <c r="CE66" s="65">
        <v>91.05</v>
      </c>
      <c r="CF66" s="66">
        <v>0</v>
      </c>
      <c r="CG66" s="47">
        <v>57</v>
      </c>
    </row>
    <row r="67" spans="1:85">
      <c r="A67" s="51">
        <f t="shared" si="4"/>
        <v>151.30000000000001</v>
      </c>
      <c r="B67" s="64">
        <v>1</v>
      </c>
      <c r="C67" s="65">
        <v>0</v>
      </c>
      <c r="D67" s="65">
        <v>0</v>
      </c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v>0</v>
      </c>
      <c r="K67" s="65">
        <v>0</v>
      </c>
      <c r="L67" s="65">
        <v>0</v>
      </c>
      <c r="M67" s="65">
        <v>0</v>
      </c>
      <c r="N67" s="65">
        <v>0</v>
      </c>
      <c r="O67" s="65">
        <v>0</v>
      </c>
      <c r="P67" s="65">
        <v>0</v>
      </c>
      <c r="Q67" s="65">
        <v>0</v>
      </c>
      <c r="R67" s="65">
        <v>0</v>
      </c>
      <c r="S67" s="65">
        <v>0</v>
      </c>
      <c r="T67" s="65">
        <v>0</v>
      </c>
      <c r="U67" s="65">
        <v>0</v>
      </c>
      <c r="V67" s="65">
        <v>0</v>
      </c>
      <c r="W67" s="65">
        <v>0</v>
      </c>
      <c r="X67" s="65">
        <v>0</v>
      </c>
      <c r="Y67" s="65">
        <v>0</v>
      </c>
      <c r="Z67" s="65">
        <v>0</v>
      </c>
      <c r="AA67" s="65">
        <v>0</v>
      </c>
      <c r="AB67" s="65">
        <v>0</v>
      </c>
      <c r="AC67" s="65">
        <v>0</v>
      </c>
      <c r="AD67" s="65">
        <v>0</v>
      </c>
      <c r="AE67" s="65">
        <v>0</v>
      </c>
      <c r="AF67" s="65">
        <v>0</v>
      </c>
      <c r="AG67" s="65">
        <v>29.5</v>
      </c>
      <c r="AH67" s="65">
        <v>30</v>
      </c>
      <c r="AI67" s="65">
        <v>54</v>
      </c>
      <c r="AJ67" s="65">
        <v>107.4</v>
      </c>
      <c r="AK67" s="65">
        <v>46.3</v>
      </c>
      <c r="AL67" s="65">
        <v>46.3</v>
      </c>
      <c r="AM67" s="65">
        <v>75.150000000000006</v>
      </c>
      <c r="AN67" s="65">
        <v>103.4</v>
      </c>
      <c r="AO67" s="65">
        <v>178.9</v>
      </c>
      <c r="AP67" s="65">
        <v>164.6</v>
      </c>
      <c r="AQ67" s="65">
        <v>147.69999999999999</v>
      </c>
      <c r="AR67" s="65">
        <v>0</v>
      </c>
      <c r="AS67" s="65">
        <v>0</v>
      </c>
      <c r="AT67" s="65">
        <v>0</v>
      </c>
      <c r="AU67" s="65">
        <v>0</v>
      </c>
      <c r="AV67" s="65">
        <v>0</v>
      </c>
      <c r="AW67" s="65">
        <v>0</v>
      </c>
      <c r="AX67" s="65">
        <v>0</v>
      </c>
      <c r="AY67" s="65">
        <v>0</v>
      </c>
      <c r="AZ67" s="65">
        <v>0</v>
      </c>
      <c r="BA67" s="65">
        <v>0</v>
      </c>
      <c r="BB67" s="65">
        <v>0</v>
      </c>
      <c r="BC67" s="65">
        <v>0</v>
      </c>
      <c r="BD67" s="65">
        <v>0</v>
      </c>
      <c r="BE67" s="65">
        <v>0</v>
      </c>
      <c r="BF67" s="65">
        <v>0</v>
      </c>
      <c r="BG67" s="65">
        <v>0</v>
      </c>
      <c r="BH67" s="65">
        <v>0</v>
      </c>
      <c r="BI67" s="65">
        <v>0</v>
      </c>
      <c r="BJ67" s="65">
        <v>0</v>
      </c>
      <c r="BK67" s="65">
        <v>0</v>
      </c>
      <c r="BL67" s="65">
        <v>0</v>
      </c>
      <c r="BM67" s="65">
        <v>0</v>
      </c>
      <c r="BN67" s="65">
        <v>0</v>
      </c>
      <c r="BO67" s="65">
        <v>0</v>
      </c>
      <c r="BP67" s="65">
        <v>0</v>
      </c>
      <c r="BQ67" s="65">
        <v>0</v>
      </c>
      <c r="BR67" s="65">
        <v>0</v>
      </c>
      <c r="BS67" s="65">
        <v>0</v>
      </c>
      <c r="BT67" s="65">
        <v>0</v>
      </c>
      <c r="BU67" s="65">
        <v>0</v>
      </c>
      <c r="BV67" s="65">
        <v>170.71899999999999</v>
      </c>
      <c r="BW67" s="65">
        <v>162.59</v>
      </c>
      <c r="BX67" s="65">
        <v>0</v>
      </c>
      <c r="BY67" s="65">
        <v>0</v>
      </c>
      <c r="BZ67" s="65">
        <v>0</v>
      </c>
      <c r="CA67" s="65">
        <v>0</v>
      </c>
      <c r="CB67" s="65">
        <v>0</v>
      </c>
      <c r="CC67" s="65">
        <v>0</v>
      </c>
      <c r="CD67" s="65">
        <v>0</v>
      </c>
      <c r="CE67" s="65">
        <v>24.35</v>
      </c>
      <c r="CF67" s="66">
        <v>0</v>
      </c>
      <c r="CG67" s="47">
        <v>58</v>
      </c>
    </row>
    <row r="68" spans="1:85">
      <c r="A68" s="51">
        <f t="shared" si="4"/>
        <v>150.30000000000001</v>
      </c>
      <c r="B68" s="64">
        <v>1</v>
      </c>
      <c r="C68" s="65">
        <v>0</v>
      </c>
      <c r="D68" s="65">
        <v>0</v>
      </c>
      <c r="E68" s="65">
        <v>0</v>
      </c>
      <c r="F68" s="65">
        <v>0</v>
      </c>
      <c r="G68" s="65">
        <v>0</v>
      </c>
      <c r="H68" s="65">
        <v>0</v>
      </c>
      <c r="I68" s="65">
        <v>0</v>
      </c>
      <c r="J68" s="65">
        <v>0</v>
      </c>
      <c r="K68" s="65">
        <v>0</v>
      </c>
      <c r="L68" s="65">
        <v>0</v>
      </c>
      <c r="M68" s="65">
        <v>0</v>
      </c>
      <c r="N68" s="65">
        <v>0</v>
      </c>
      <c r="O68" s="65">
        <v>0</v>
      </c>
      <c r="P68" s="65">
        <v>0</v>
      </c>
      <c r="Q68" s="65">
        <v>0</v>
      </c>
      <c r="R68" s="65">
        <v>0</v>
      </c>
      <c r="S68" s="65">
        <v>0</v>
      </c>
      <c r="T68" s="65">
        <v>0</v>
      </c>
      <c r="U68" s="65">
        <v>0</v>
      </c>
      <c r="V68" s="65">
        <v>0</v>
      </c>
      <c r="W68" s="65">
        <v>0</v>
      </c>
      <c r="X68" s="65">
        <v>0</v>
      </c>
      <c r="Y68" s="65">
        <v>0</v>
      </c>
      <c r="Z68" s="65">
        <v>0</v>
      </c>
      <c r="AA68" s="65">
        <v>0</v>
      </c>
      <c r="AB68" s="65">
        <v>0</v>
      </c>
      <c r="AC68" s="65">
        <v>0</v>
      </c>
      <c r="AD68" s="65">
        <v>0</v>
      </c>
      <c r="AE68" s="65">
        <v>0</v>
      </c>
      <c r="AF68" s="65">
        <v>0</v>
      </c>
      <c r="AG68" s="65">
        <v>0</v>
      </c>
      <c r="AH68" s="65">
        <v>21</v>
      </c>
      <c r="AI68" s="65">
        <v>45.2</v>
      </c>
      <c r="AJ68" s="65">
        <v>102.94999999999999</v>
      </c>
      <c r="AK68" s="65">
        <v>41.2</v>
      </c>
      <c r="AL68" s="65">
        <v>41.2</v>
      </c>
      <c r="AM68" s="65">
        <v>68</v>
      </c>
      <c r="AN68" s="65">
        <v>93.8</v>
      </c>
      <c r="AO68" s="65">
        <v>125</v>
      </c>
      <c r="AP68" s="65">
        <v>129.5</v>
      </c>
      <c r="AQ68" s="65">
        <v>117.4</v>
      </c>
      <c r="AR68" s="65">
        <v>0</v>
      </c>
      <c r="AS68" s="65">
        <v>0</v>
      </c>
      <c r="AT68" s="65">
        <v>0</v>
      </c>
      <c r="AU68" s="65">
        <v>0</v>
      </c>
      <c r="AV68" s="65">
        <v>0</v>
      </c>
      <c r="AW68" s="65">
        <v>0</v>
      </c>
      <c r="AX68" s="65">
        <v>0</v>
      </c>
      <c r="AY68" s="65">
        <v>0</v>
      </c>
      <c r="AZ68" s="65">
        <v>0</v>
      </c>
      <c r="BA68" s="65">
        <v>0</v>
      </c>
      <c r="BB68" s="65">
        <v>0</v>
      </c>
      <c r="BC68" s="65">
        <v>0</v>
      </c>
      <c r="BD68" s="65">
        <v>0</v>
      </c>
      <c r="BE68" s="65">
        <v>0</v>
      </c>
      <c r="BF68" s="65">
        <v>0</v>
      </c>
      <c r="BG68" s="65">
        <v>0</v>
      </c>
      <c r="BH68" s="65">
        <v>0</v>
      </c>
      <c r="BI68" s="65">
        <v>0</v>
      </c>
      <c r="BJ68" s="65">
        <v>0</v>
      </c>
      <c r="BK68" s="65">
        <v>0</v>
      </c>
      <c r="BL68" s="65">
        <v>0</v>
      </c>
      <c r="BM68" s="65">
        <v>0</v>
      </c>
      <c r="BN68" s="65">
        <v>0</v>
      </c>
      <c r="BO68" s="65">
        <v>0</v>
      </c>
      <c r="BP68" s="65">
        <v>0</v>
      </c>
      <c r="BQ68" s="65">
        <v>0</v>
      </c>
      <c r="BR68" s="65">
        <v>0</v>
      </c>
      <c r="BS68" s="65">
        <v>0</v>
      </c>
      <c r="BT68" s="65">
        <v>0</v>
      </c>
      <c r="BU68" s="65">
        <v>0</v>
      </c>
      <c r="BV68" s="65">
        <v>153.33099999999999</v>
      </c>
      <c r="BW68" s="65">
        <v>146.029</v>
      </c>
      <c r="BX68" s="65">
        <v>0</v>
      </c>
      <c r="BY68" s="65">
        <v>0</v>
      </c>
      <c r="BZ68" s="65">
        <v>0</v>
      </c>
      <c r="CA68" s="65">
        <v>0</v>
      </c>
      <c r="CB68" s="65">
        <v>0</v>
      </c>
      <c r="CC68" s="65">
        <v>0</v>
      </c>
      <c r="CD68" s="65">
        <v>0</v>
      </c>
      <c r="CE68" s="65">
        <v>0</v>
      </c>
      <c r="CF68" s="66">
        <v>0</v>
      </c>
      <c r="CG68" s="47">
        <v>59</v>
      </c>
    </row>
    <row r="69" spans="1:85">
      <c r="A69" s="51">
        <f t="shared" si="4"/>
        <v>149.30000000000001</v>
      </c>
      <c r="B69" s="64">
        <v>1</v>
      </c>
      <c r="C69" s="65">
        <v>0</v>
      </c>
      <c r="D69" s="65">
        <v>0</v>
      </c>
      <c r="E69" s="65">
        <v>0</v>
      </c>
      <c r="F69" s="65">
        <v>0</v>
      </c>
      <c r="G69" s="65">
        <v>0</v>
      </c>
      <c r="H69" s="65">
        <v>0</v>
      </c>
      <c r="I69" s="65">
        <v>0</v>
      </c>
      <c r="J69" s="65">
        <v>0</v>
      </c>
      <c r="K69" s="65">
        <v>0</v>
      </c>
      <c r="L69" s="65">
        <v>0</v>
      </c>
      <c r="M69" s="65">
        <v>0</v>
      </c>
      <c r="N69" s="65">
        <v>0</v>
      </c>
      <c r="O69" s="65">
        <v>0</v>
      </c>
      <c r="P69" s="65">
        <v>0</v>
      </c>
      <c r="Q69" s="65">
        <v>0</v>
      </c>
      <c r="R69" s="65">
        <v>0</v>
      </c>
      <c r="S69" s="65">
        <v>0</v>
      </c>
      <c r="T69" s="65">
        <v>0</v>
      </c>
      <c r="U69" s="65">
        <v>0</v>
      </c>
      <c r="V69" s="65">
        <v>0</v>
      </c>
      <c r="W69" s="65">
        <v>0</v>
      </c>
      <c r="X69" s="65">
        <v>0</v>
      </c>
      <c r="Y69" s="65">
        <v>0</v>
      </c>
      <c r="Z69" s="65">
        <v>0</v>
      </c>
      <c r="AA69" s="65">
        <v>0</v>
      </c>
      <c r="AB69" s="65">
        <v>0</v>
      </c>
      <c r="AC69" s="65">
        <v>0</v>
      </c>
      <c r="AD69" s="65">
        <v>0</v>
      </c>
      <c r="AE69" s="65">
        <v>0</v>
      </c>
      <c r="AF69" s="65">
        <v>0</v>
      </c>
      <c r="AG69" s="65">
        <v>0</v>
      </c>
      <c r="AH69" s="65">
        <v>0</v>
      </c>
      <c r="AI69" s="65">
        <v>21</v>
      </c>
      <c r="AJ69" s="65">
        <v>83.65</v>
      </c>
      <c r="AK69" s="65">
        <v>23</v>
      </c>
      <c r="AL69" s="65">
        <v>23</v>
      </c>
      <c r="AM69" s="65">
        <v>60.3</v>
      </c>
      <c r="AN69" s="65">
        <v>81.7</v>
      </c>
      <c r="AO69" s="65">
        <v>81.8</v>
      </c>
      <c r="AP69" s="65">
        <v>86.2</v>
      </c>
      <c r="AQ69" s="65">
        <v>71.8</v>
      </c>
      <c r="AR69" s="65">
        <v>0</v>
      </c>
      <c r="AS69" s="65">
        <v>0</v>
      </c>
      <c r="AT69" s="65">
        <v>0</v>
      </c>
      <c r="AU69" s="65">
        <v>0</v>
      </c>
      <c r="AV69" s="65">
        <v>0</v>
      </c>
      <c r="AW69" s="65">
        <v>0</v>
      </c>
      <c r="AX69" s="65">
        <v>0</v>
      </c>
      <c r="AY69" s="65">
        <v>0</v>
      </c>
      <c r="AZ69" s="65">
        <v>0</v>
      </c>
      <c r="BA69" s="65">
        <v>0</v>
      </c>
      <c r="BB69" s="65">
        <v>0</v>
      </c>
      <c r="BC69" s="65">
        <v>0</v>
      </c>
      <c r="BD69" s="65">
        <v>0</v>
      </c>
      <c r="BE69" s="65">
        <v>0</v>
      </c>
      <c r="BF69" s="65">
        <v>0</v>
      </c>
      <c r="BG69" s="65">
        <v>0</v>
      </c>
      <c r="BH69" s="65">
        <v>0</v>
      </c>
      <c r="BI69" s="65">
        <v>0</v>
      </c>
      <c r="BJ69" s="65">
        <v>0</v>
      </c>
      <c r="BK69" s="65">
        <v>0</v>
      </c>
      <c r="BL69" s="65">
        <v>0</v>
      </c>
      <c r="BM69" s="65">
        <v>0</v>
      </c>
      <c r="BN69" s="65">
        <v>0</v>
      </c>
      <c r="BO69" s="65">
        <v>0</v>
      </c>
      <c r="BP69" s="65">
        <v>0</v>
      </c>
      <c r="BQ69" s="65">
        <v>0</v>
      </c>
      <c r="BR69" s="65">
        <v>0</v>
      </c>
      <c r="BS69" s="65">
        <v>0</v>
      </c>
      <c r="BT69" s="65">
        <v>0</v>
      </c>
      <c r="BU69" s="65">
        <v>0</v>
      </c>
      <c r="BV69" s="65">
        <v>130.893</v>
      </c>
      <c r="BW69" s="65">
        <v>124.66</v>
      </c>
      <c r="BX69" s="65">
        <v>0</v>
      </c>
      <c r="BY69" s="65">
        <v>0</v>
      </c>
      <c r="BZ69" s="65">
        <v>0</v>
      </c>
      <c r="CA69" s="65">
        <v>0</v>
      </c>
      <c r="CB69" s="65">
        <v>0</v>
      </c>
      <c r="CC69" s="65">
        <v>0</v>
      </c>
      <c r="CD69" s="65">
        <v>0</v>
      </c>
      <c r="CE69" s="65">
        <v>0</v>
      </c>
      <c r="CF69" s="66">
        <v>0</v>
      </c>
      <c r="CG69" s="47">
        <v>60</v>
      </c>
    </row>
    <row r="70" spans="1:85">
      <c r="A70" s="51">
        <f t="shared" si="4"/>
        <v>148.30000000000001</v>
      </c>
      <c r="B70" s="64">
        <v>1</v>
      </c>
      <c r="C70" s="65">
        <v>0</v>
      </c>
      <c r="D70" s="65">
        <v>0</v>
      </c>
      <c r="E70" s="65">
        <v>0</v>
      </c>
      <c r="F70" s="65">
        <v>0</v>
      </c>
      <c r="G70" s="65">
        <v>0</v>
      </c>
      <c r="H70" s="65">
        <v>0</v>
      </c>
      <c r="I70" s="65">
        <v>0</v>
      </c>
      <c r="J70" s="65">
        <v>0</v>
      </c>
      <c r="K70" s="65">
        <v>0</v>
      </c>
      <c r="L70" s="65">
        <v>0</v>
      </c>
      <c r="M70" s="65">
        <v>0</v>
      </c>
      <c r="N70" s="65">
        <v>0</v>
      </c>
      <c r="O70" s="65">
        <v>0</v>
      </c>
      <c r="P70" s="65">
        <v>0</v>
      </c>
      <c r="Q70" s="65">
        <v>0</v>
      </c>
      <c r="R70" s="65">
        <v>0</v>
      </c>
      <c r="S70" s="65">
        <v>0</v>
      </c>
      <c r="T70" s="65">
        <v>0</v>
      </c>
      <c r="U70" s="65">
        <v>0</v>
      </c>
      <c r="V70" s="65">
        <v>0</v>
      </c>
      <c r="W70" s="65">
        <v>0</v>
      </c>
      <c r="X70" s="65">
        <v>0</v>
      </c>
      <c r="Y70" s="65">
        <v>0</v>
      </c>
      <c r="Z70" s="65">
        <v>0</v>
      </c>
      <c r="AA70" s="65">
        <v>0</v>
      </c>
      <c r="AB70" s="65">
        <v>0</v>
      </c>
      <c r="AC70" s="65">
        <v>0</v>
      </c>
      <c r="AD70" s="65">
        <v>0</v>
      </c>
      <c r="AE70" s="65">
        <v>0</v>
      </c>
      <c r="AF70" s="65">
        <v>0</v>
      </c>
      <c r="AG70" s="65">
        <v>0</v>
      </c>
      <c r="AH70" s="65">
        <v>0</v>
      </c>
      <c r="AI70" s="65">
        <v>10</v>
      </c>
      <c r="AJ70" s="65">
        <v>19.95</v>
      </c>
      <c r="AK70" s="65">
        <v>21</v>
      </c>
      <c r="AL70" s="65">
        <v>21</v>
      </c>
      <c r="AM70" s="65">
        <v>37.450000000000003</v>
      </c>
      <c r="AN70" s="65">
        <v>58.8</v>
      </c>
      <c r="AO70" s="65">
        <v>68</v>
      </c>
      <c r="AP70" s="65">
        <v>75.7</v>
      </c>
      <c r="AQ70" s="65">
        <v>62.7</v>
      </c>
      <c r="AR70" s="65">
        <v>0</v>
      </c>
      <c r="AS70" s="65">
        <v>0</v>
      </c>
      <c r="AT70" s="65">
        <v>0</v>
      </c>
      <c r="AU70" s="65">
        <v>0</v>
      </c>
      <c r="AV70" s="65">
        <v>0</v>
      </c>
      <c r="AW70" s="65">
        <v>0</v>
      </c>
      <c r="AX70" s="65">
        <v>0</v>
      </c>
      <c r="AY70" s="65">
        <v>0</v>
      </c>
      <c r="AZ70" s="65">
        <v>0</v>
      </c>
      <c r="BA70" s="65">
        <v>0</v>
      </c>
      <c r="BB70" s="65">
        <v>0</v>
      </c>
      <c r="BC70" s="65">
        <v>0</v>
      </c>
      <c r="BD70" s="65">
        <v>0</v>
      </c>
      <c r="BE70" s="65">
        <v>0</v>
      </c>
      <c r="BF70" s="65">
        <v>0</v>
      </c>
      <c r="BG70" s="65">
        <v>0</v>
      </c>
      <c r="BH70" s="65">
        <v>0</v>
      </c>
      <c r="BI70" s="65">
        <v>0</v>
      </c>
      <c r="BJ70" s="65">
        <v>0</v>
      </c>
      <c r="BK70" s="65">
        <v>0</v>
      </c>
      <c r="BL70" s="65">
        <v>0</v>
      </c>
      <c r="BM70" s="65">
        <v>0</v>
      </c>
      <c r="BN70" s="65">
        <v>0</v>
      </c>
      <c r="BO70" s="65">
        <v>0</v>
      </c>
      <c r="BP70" s="65">
        <v>0</v>
      </c>
      <c r="BQ70" s="65">
        <v>0</v>
      </c>
      <c r="BR70" s="65">
        <v>0</v>
      </c>
      <c r="BS70" s="65">
        <v>0</v>
      </c>
      <c r="BT70" s="65">
        <v>0</v>
      </c>
      <c r="BU70" s="65">
        <v>0</v>
      </c>
      <c r="BV70" s="65">
        <v>89.569000000000003</v>
      </c>
      <c r="BW70" s="65">
        <v>85.304000000000002</v>
      </c>
      <c r="BX70" s="65">
        <v>0</v>
      </c>
      <c r="BY70" s="65">
        <v>0</v>
      </c>
      <c r="BZ70" s="65">
        <v>0</v>
      </c>
      <c r="CA70" s="65">
        <v>0</v>
      </c>
      <c r="CB70" s="65">
        <v>0</v>
      </c>
      <c r="CC70" s="65">
        <v>0</v>
      </c>
      <c r="CD70" s="65">
        <v>0</v>
      </c>
      <c r="CE70" s="65">
        <v>0</v>
      </c>
      <c r="CF70" s="66">
        <v>0</v>
      </c>
      <c r="CG70" s="47">
        <v>61</v>
      </c>
    </row>
    <row r="71" spans="1:85">
      <c r="A71" s="51">
        <f t="shared" si="4"/>
        <v>147.30000000000001</v>
      </c>
      <c r="B71" s="64">
        <v>1</v>
      </c>
      <c r="C71" s="65">
        <v>0</v>
      </c>
      <c r="D71" s="65">
        <v>0</v>
      </c>
      <c r="E71" s="65">
        <v>0</v>
      </c>
      <c r="F71" s="65">
        <v>0</v>
      </c>
      <c r="G71" s="65">
        <v>0</v>
      </c>
      <c r="H71" s="65">
        <v>0</v>
      </c>
      <c r="I71" s="65">
        <v>0</v>
      </c>
      <c r="J71" s="65">
        <v>0</v>
      </c>
      <c r="K71" s="65">
        <v>0</v>
      </c>
      <c r="L71" s="65">
        <v>0</v>
      </c>
      <c r="M71" s="65">
        <v>0</v>
      </c>
      <c r="N71" s="65">
        <v>0</v>
      </c>
      <c r="O71" s="65">
        <v>0</v>
      </c>
      <c r="P71" s="65">
        <v>0</v>
      </c>
      <c r="Q71" s="65">
        <v>0</v>
      </c>
      <c r="R71" s="65">
        <v>0</v>
      </c>
      <c r="S71" s="65">
        <v>0</v>
      </c>
      <c r="T71" s="65">
        <v>0</v>
      </c>
      <c r="U71" s="65">
        <v>0</v>
      </c>
      <c r="V71" s="65">
        <v>0</v>
      </c>
      <c r="W71" s="65">
        <v>0</v>
      </c>
      <c r="X71" s="65">
        <v>0</v>
      </c>
      <c r="Y71" s="65">
        <v>0</v>
      </c>
      <c r="Z71" s="65">
        <v>0</v>
      </c>
      <c r="AA71" s="65">
        <v>0</v>
      </c>
      <c r="AB71" s="65">
        <v>0</v>
      </c>
      <c r="AC71" s="65">
        <v>0</v>
      </c>
      <c r="AD71" s="65">
        <v>0</v>
      </c>
      <c r="AE71" s="65">
        <v>0</v>
      </c>
      <c r="AF71" s="65">
        <v>0</v>
      </c>
      <c r="AG71" s="65">
        <v>0</v>
      </c>
      <c r="AH71" s="65">
        <v>0</v>
      </c>
      <c r="AI71" s="65">
        <v>5</v>
      </c>
      <c r="AJ71" s="65">
        <v>5</v>
      </c>
      <c r="AK71" s="65">
        <v>5</v>
      </c>
      <c r="AL71" s="65">
        <v>5</v>
      </c>
      <c r="AM71" s="65">
        <v>20</v>
      </c>
      <c r="AN71" s="65">
        <v>20</v>
      </c>
      <c r="AO71" s="65">
        <v>50.7</v>
      </c>
      <c r="AP71" s="65">
        <v>65.7</v>
      </c>
      <c r="AQ71" s="65">
        <v>56.1</v>
      </c>
      <c r="AR71" s="65">
        <v>0</v>
      </c>
      <c r="AS71" s="65">
        <v>0</v>
      </c>
      <c r="AT71" s="65">
        <v>0</v>
      </c>
      <c r="AU71" s="65">
        <v>0</v>
      </c>
      <c r="AV71" s="65">
        <v>0</v>
      </c>
      <c r="AW71" s="65">
        <v>0</v>
      </c>
      <c r="AX71" s="65">
        <v>0</v>
      </c>
      <c r="AY71" s="65">
        <v>0</v>
      </c>
      <c r="AZ71" s="65">
        <v>0</v>
      </c>
      <c r="BA71" s="65">
        <v>0</v>
      </c>
      <c r="BB71" s="65">
        <v>0</v>
      </c>
      <c r="BC71" s="65">
        <v>0</v>
      </c>
      <c r="BD71" s="65">
        <v>0</v>
      </c>
      <c r="BE71" s="65">
        <v>0</v>
      </c>
      <c r="BF71" s="65">
        <v>0</v>
      </c>
      <c r="BG71" s="65">
        <v>0</v>
      </c>
      <c r="BH71" s="65">
        <v>0</v>
      </c>
      <c r="BI71" s="65">
        <v>0</v>
      </c>
      <c r="BJ71" s="65">
        <v>0</v>
      </c>
      <c r="BK71" s="65">
        <v>0</v>
      </c>
      <c r="BL71" s="65">
        <v>0</v>
      </c>
      <c r="BM71" s="65">
        <v>0</v>
      </c>
      <c r="BN71" s="65">
        <v>0</v>
      </c>
      <c r="BO71" s="65">
        <v>0</v>
      </c>
      <c r="BP71" s="65">
        <v>0</v>
      </c>
      <c r="BQ71" s="65">
        <v>0</v>
      </c>
      <c r="BR71" s="65">
        <v>0</v>
      </c>
      <c r="BS71" s="65">
        <v>0</v>
      </c>
      <c r="BT71" s="65">
        <v>0</v>
      </c>
      <c r="BU71" s="65">
        <v>0</v>
      </c>
      <c r="BV71" s="65">
        <v>35</v>
      </c>
      <c r="BW71" s="65">
        <v>35</v>
      </c>
      <c r="BX71" s="65">
        <v>0</v>
      </c>
      <c r="BY71" s="65">
        <v>0</v>
      </c>
      <c r="BZ71" s="65">
        <v>0</v>
      </c>
      <c r="CA71" s="65">
        <v>0</v>
      </c>
      <c r="CB71" s="65">
        <v>0</v>
      </c>
      <c r="CC71" s="65">
        <v>0</v>
      </c>
      <c r="CD71" s="65">
        <v>0</v>
      </c>
      <c r="CE71" s="65">
        <v>0</v>
      </c>
      <c r="CF71" s="66">
        <v>0</v>
      </c>
      <c r="CG71" s="47">
        <v>62</v>
      </c>
    </row>
    <row r="72" spans="1:85">
      <c r="A72" s="51">
        <f t="shared" si="4"/>
        <v>146.30000000000001</v>
      </c>
      <c r="B72" s="64">
        <v>1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65">
        <v>0</v>
      </c>
      <c r="N72" s="65">
        <v>0</v>
      </c>
      <c r="O72" s="65">
        <v>0</v>
      </c>
      <c r="P72" s="65">
        <v>0</v>
      </c>
      <c r="Q72" s="65">
        <v>0</v>
      </c>
      <c r="R72" s="65">
        <v>0</v>
      </c>
      <c r="S72" s="65">
        <v>0</v>
      </c>
      <c r="T72" s="65">
        <v>0</v>
      </c>
      <c r="U72" s="65">
        <v>0</v>
      </c>
      <c r="V72" s="65">
        <v>0</v>
      </c>
      <c r="W72" s="65">
        <v>0</v>
      </c>
      <c r="X72" s="65">
        <v>0</v>
      </c>
      <c r="Y72" s="65">
        <v>0</v>
      </c>
      <c r="Z72" s="65">
        <v>0</v>
      </c>
      <c r="AA72" s="65">
        <v>0</v>
      </c>
      <c r="AB72" s="65">
        <v>0</v>
      </c>
      <c r="AC72" s="65">
        <v>0</v>
      </c>
      <c r="AD72" s="65">
        <v>0</v>
      </c>
      <c r="AE72" s="65">
        <v>0</v>
      </c>
      <c r="AF72" s="65">
        <v>0</v>
      </c>
      <c r="AG72" s="65">
        <v>0</v>
      </c>
      <c r="AH72" s="65">
        <v>0</v>
      </c>
      <c r="AI72" s="65">
        <v>0</v>
      </c>
      <c r="AJ72" s="65">
        <v>0</v>
      </c>
      <c r="AK72" s="65">
        <v>0</v>
      </c>
      <c r="AL72" s="65">
        <v>0</v>
      </c>
      <c r="AM72" s="65">
        <v>0</v>
      </c>
      <c r="AN72" s="65">
        <v>0</v>
      </c>
      <c r="AO72" s="65">
        <v>25.5</v>
      </c>
      <c r="AP72" s="65">
        <v>48.3</v>
      </c>
      <c r="AQ72" s="65">
        <v>44.9</v>
      </c>
      <c r="AR72" s="65">
        <v>0</v>
      </c>
      <c r="AS72" s="65">
        <v>0</v>
      </c>
      <c r="AT72" s="65">
        <v>0</v>
      </c>
      <c r="AU72" s="65">
        <v>0</v>
      </c>
      <c r="AV72" s="65">
        <v>0</v>
      </c>
      <c r="AW72" s="65">
        <v>0</v>
      </c>
      <c r="AX72" s="65">
        <v>0</v>
      </c>
      <c r="AY72" s="65">
        <v>0</v>
      </c>
      <c r="AZ72" s="65">
        <v>0</v>
      </c>
      <c r="BA72" s="65">
        <v>0</v>
      </c>
      <c r="BB72" s="65">
        <v>0</v>
      </c>
      <c r="BC72" s="65">
        <v>0</v>
      </c>
      <c r="BD72" s="65">
        <v>0</v>
      </c>
      <c r="BE72" s="65">
        <v>0</v>
      </c>
      <c r="BF72" s="65">
        <v>0</v>
      </c>
      <c r="BG72" s="65">
        <v>0</v>
      </c>
      <c r="BH72" s="65">
        <v>0</v>
      </c>
      <c r="BI72" s="65">
        <v>0</v>
      </c>
      <c r="BJ72" s="65">
        <v>0</v>
      </c>
      <c r="BK72" s="65">
        <v>0</v>
      </c>
      <c r="BL72" s="65">
        <v>0</v>
      </c>
      <c r="BM72" s="65">
        <v>0</v>
      </c>
      <c r="BN72" s="65">
        <v>0</v>
      </c>
      <c r="BO72" s="65">
        <v>0</v>
      </c>
      <c r="BP72" s="65">
        <v>0</v>
      </c>
      <c r="BQ72" s="65">
        <v>0</v>
      </c>
      <c r="BR72" s="65">
        <v>0</v>
      </c>
      <c r="BS72" s="65">
        <v>0</v>
      </c>
      <c r="BT72" s="65">
        <v>0</v>
      </c>
      <c r="BU72" s="65">
        <v>0</v>
      </c>
      <c r="BV72" s="65">
        <v>0</v>
      </c>
      <c r="BW72" s="65">
        <v>0</v>
      </c>
      <c r="BX72" s="65">
        <v>0</v>
      </c>
      <c r="BY72" s="65">
        <v>0</v>
      </c>
      <c r="BZ72" s="65">
        <v>0</v>
      </c>
      <c r="CA72" s="65">
        <v>0</v>
      </c>
      <c r="CB72" s="65">
        <v>0</v>
      </c>
      <c r="CC72" s="65">
        <v>0</v>
      </c>
      <c r="CD72" s="65">
        <v>0</v>
      </c>
      <c r="CE72" s="65">
        <v>0</v>
      </c>
      <c r="CF72" s="66">
        <v>0</v>
      </c>
      <c r="CG72" s="47">
        <v>63</v>
      </c>
    </row>
    <row r="73" spans="1:85">
      <c r="A73" s="51">
        <f t="shared" si="4"/>
        <v>145.30000000000001</v>
      </c>
      <c r="B73" s="64">
        <v>1</v>
      </c>
      <c r="C73" s="65">
        <v>0</v>
      </c>
      <c r="D73" s="65">
        <v>0</v>
      </c>
      <c r="E73" s="65">
        <v>0</v>
      </c>
      <c r="F73" s="65">
        <v>0</v>
      </c>
      <c r="G73" s="65">
        <v>0</v>
      </c>
      <c r="H73" s="65">
        <v>0</v>
      </c>
      <c r="I73" s="65">
        <v>0</v>
      </c>
      <c r="J73" s="65">
        <v>0</v>
      </c>
      <c r="K73" s="65">
        <v>0</v>
      </c>
      <c r="L73" s="65">
        <v>0</v>
      </c>
      <c r="M73" s="65">
        <v>0</v>
      </c>
      <c r="N73" s="65">
        <v>0</v>
      </c>
      <c r="O73" s="65">
        <v>0</v>
      </c>
      <c r="P73" s="65">
        <v>0</v>
      </c>
      <c r="Q73" s="65">
        <v>0</v>
      </c>
      <c r="R73" s="65">
        <v>0</v>
      </c>
      <c r="S73" s="65">
        <v>0</v>
      </c>
      <c r="T73" s="65">
        <v>0</v>
      </c>
      <c r="U73" s="65">
        <v>0</v>
      </c>
      <c r="V73" s="65">
        <v>0</v>
      </c>
      <c r="W73" s="65">
        <v>0</v>
      </c>
      <c r="X73" s="65">
        <v>0</v>
      </c>
      <c r="Y73" s="65">
        <v>0</v>
      </c>
      <c r="Z73" s="65">
        <v>0</v>
      </c>
      <c r="AA73" s="65">
        <v>0</v>
      </c>
      <c r="AB73" s="65">
        <v>0</v>
      </c>
      <c r="AC73" s="65">
        <v>0</v>
      </c>
      <c r="AD73" s="65">
        <v>0</v>
      </c>
      <c r="AE73" s="65">
        <v>0</v>
      </c>
      <c r="AF73" s="65">
        <v>0</v>
      </c>
      <c r="AG73" s="65">
        <v>0</v>
      </c>
      <c r="AH73" s="65">
        <v>0</v>
      </c>
      <c r="AI73" s="65">
        <v>0</v>
      </c>
      <c r="AJ73" s="65">
        <v>0</v>
      </c>
      <c r="AK73" s="65">
        <v>0</v>
      </c>
      <c r="AL73" s="65">
        <v>0</v>
      </c>
      <c r="AM73" s="65">
        <v>0</v>
      </c>
      <c r="AN73" s="65">
        <v>0</v>
      </c>
      <c r="AO73" s="65">
        <v>21</v>
      </c>
      <c r="AP73" s="65">
        <v>21</v>
      </c>
      <c r="AQ73" s="65">
        <v>21</v>
      </c>
      <c r="AR73" s="65">
        <v>0</v>
      </c>
      <c r="AS73" s="65">
        <v>0</v>
      </c>
      <c r="AT73" s="65">
        <v>0</v>
      </c>
      <c r="AU73" s="65">
        <v>0</v>
      </c>
      <c r="AV73" s="65">
        <v>0</v>
      </c>
      <c r="AW73" s="65">
        <v>0</v>
      </c>
      <c r="AX73" s="65">
        <v>0</v>
      </c>
      <c r="AY73" s="65">
        <v>0</v>
      </c>
      <c r="AZ73" s="65">
        <v>0</v>
      </c>
      <c r="BA73" s="65">
        <v>0</v>
      </c>
      <c r="BB73" s="65">
        <v>0</v>
      </c>
      <c r="BC73" s="65">
        <v>0</v>
      </c>
      <c r="BD73" s="65">
        <v>0</v>
      </c>
      <c r="BE73" s="65">
        <v>0</v>
      </c>
      <c r="BF73" s="65">
        <v>0</v>
      </c>
      <c r="BG73" s="65">
        <v>0</v>
      </c>
      <c r="BH73" s="65">
        <v>0</v>
      </c>
      <c r="BI73" s="65">
        <v>0</v>
      </c>
      <c r="BJ73" s="65">
        <v>0</v>
      </c>
      <c r="BK73" s="65">
        <v>0</v>
      </c>
      <c r="BL73" s="65">
        <v>0</v>
      </c>
      <c r="BM73" s="65">
        <v>0</v>
      </c>
      <c r="BN73" s="65">
        <v>0</v>
      </c>
      <c r="BO73" s="65">
        <v>0</v>
      </c>
      <c r="BP73" s="65">
        <v>0</v>
      </c>
      <c r="BQ73" s="65">
        <v>0</v>
      </c>
      <c r="BR73" s="65">
        <v>0</v>
      </c>
      <c r="BS73" s="65">
        <v>0</v>
      </c>
      <c r="BT73" s="65">
        <v>0</v>
      </c>
      <c r="BU73" s="65">
        <v>0</v>
      </c>
      <c r="BV73" s="65">
        <v>0</v>
      </c>
      <c r="BW73" s="65">
        <v>0</v>
      </c>
      <c r="BX73" s="65">
        <v>0</v>
      </c>
      <c r="BY73" s="65">
        <v>0</v>
      </c>
      <c r="BZ73" s="65">
        <v>0</v>
      </c>
      <c r="CA73" s="65">
        <v>0</v>
      </c>
      <c r="CB73" s="65">
        <v>0</v>
      </c>
      <c r="CC73" s="65">
        <v>0</v>
      </c>
      <c r="CD73" s="65">
        <v>0</v>
      </c>
      <c r="CE73" s="65">
        <v>0</v>
      </c>
      <c r="CF73" s="66">
        <v>0</v>
      </c>
      <c r="CG73" s="47">
        <v>64</v>
      </c>
    </row>
    <row r="74" spans="1:85" ht="14.25" thickBot="1">
      <c r="A74" s="51">
        <f t="shared" si="4"/>
        <v>144.30000000000001</v>
      </c>
      <c r="B74" s="67">
        <v>1</v>
      </c>
      <c r="C74" s="68">
        <v>0</v>
      </c>
      <c r="D74" s="68">
        <v>0</v>
      </c>
      <c r="E74" s="68">
        <v>0</v>
      </c>
      <c r="F74" s="68">
        <v>0</v>
      </c>
      <c r="G74" s="68">
        <v>0</v>
      </c>
      <c r="H74" s="68">
        <v>0</v>
      </c>
      <c r="I74" s="68">
        <v>0</v>
      </c>
      <c r="J74" s="68">
        <v>0</v>
      </c>
      <c r="K74" s="68">
        <v>0</v>
      </c>
      <c r="L74" s="68">
        <v>0</v>
      </c>
      <c r="M74" s="68">
        <v>0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0</v>
      </c>
      <c r="U74" s="68">
        <v>0</v>
      </c>
      <c r="V74" s="68">
        <v>0</v>
      </c>
      <c r="W74" s="68">
        <v>0</v>
      </c>
      <c r="X74" s="68">
        <v>0</v>
      </c>
      <c r="Y74" s="68">
        <v>0</v>
      </c>
      <c r="Z74" s="68">
        <v>0</v>
      </c>
      <c r="AA74" s="68">
        <v>0</v>
      </c>
      <c r="AB74" s="68">
        <v>0</v>
      </c>
      <c r="AC74" s="68">
        <v>0</v>
      </c>
      <c r="AD74" s="68">
        <v>0</v>
      </c>
      <c r="AE74" s="68">
        <v>0</v>
      </c>
      <c r="AF74" s="68">
        <v>0</v>
      </c>
      <c r="AG74" s="68">
        <v>0</v>
      </c>
      <c r="AH74" s="68">
        <v>0</v>
      </c>
      <c r="AI74" s="68">
        <v>0</v>
      </c>
      <c r="AJ74" s="68">
        <v>0</v>
      </c>
      <c r="AK74" s="68">
        <v>0</v>
      </c>
      <c r="AL74" s="68">
        <v>0</v>
      </c>
      <c r="AM74" s="68">
        <v>0</v>
      </c>
      <c r="AN74" s="68">
        <v>0</v>
      </c>
      <c r="AO74" s="68">
        <v>0</v>
      </c>
      <c r="AP74" s="68">
        <v>0</v>
      </c>
      <c r="AQ74" s="68">
        <v>0</v>
      </c>
      <c r="AR74" s="68">
        <v>0</v>
      </c>
      <c r="AS74" s="68">
        <v>0</v>
      </c>
      <c r="AT74" s="68">
        <v>0</v>
      </c>
      <c r="AU74" s="68">
        <v>0</v>
      </c>
      <c r="AV74" s="68">
        <v>0</v>
      </c>
      <c r="AW74" s="68">
        <v>0</v>
      </c>
      <c r="AX74" s="68">
        <v>0</v>
      </c>
      <c r="AY74" s="68">
        <v>0</v>
      </c>
      <c r="AZ74" s="68">
        <v>0</v>
      </c>
      <c r="BA74" s="68">
        <v>0</v>
      </c>
      <c r="BB74" s="68">
        <v>0</v>
      </c>
      <c r="BC74" s="68">
        <v>0</v>
      </c>
      <c r="BD74" s="68">
        <v>0</v>
      </c>
      <c r="BE74" s="68">
        <v>0</v>
      </c>
      <c r="BF74" s="68">
        <v>0</v>
      </c>
      <c r="BG74" s="68">
        <v>0</v>
      </c>
      <c r="BH74" s="68">
        <v>0</v>
      </c>
      <c r="BI74" s="68">
        <v>0</v>
      </c>
      <c r="BJ74" s="68">
        <v>0</v>
      </c>
      <c r="BK74" s="68">
        <v>0</v>
      </c>
      <c r="BL74" s="68">
        <v>0</v>
      </c>
      <c r="BM74" s="68">
        <v>0</v>
      </c>
      <c r="BN74" s="68">
        <v>0</v>
      </c>
      <c r="BO74" s="68">
        <v>0</v>
      </c>
      <c r="BP74" s="68">
        <v>0</v>
      </c>
      <c r="BQ74" s="68">
        <v>0</v>
      </c>
      <c r="BR74" s="68">
        <v>0</v>
      </c>
      <c r="BS74" s="68">
        <v>0</v>
      </c>
      <c r="BT74" s="68">
        <v>0</v>
      </c>
      <c r="BU74" s="68">
        <v>0</v>
      </c>
      <c r="BV74" s="68">
        <v>0</v>
      </c>
      <c r="BW74" s="68">
        <v>0</v>
      </c>
      <c r="BX74" s="68">
        <v>0</v>
      </c>
      <c r="BY74" s="68">
        <v>0</v>
      </c>
      <c r="BZ74" s="68">
        <v>0</v>
      </c>
      <c r="CA74" s="68">
        <v>0</v>
      </c>
      <c r="CB74" s="68">
        <v>0</v>
      </c>
      <c r="CC74" s="68">
        <v>0</v>
      </c>
      <c r="CD74" s="68">
        <v>0</v>
      </c>
      <c r="CE74" s="68">
        <v>0</v>
      </c>
      <c r="CF74" s="69">
        <v>0</v>
      </c>
      <c r="CG74" s="47">
        <v>65</v>
      </c>
    </row>
  </sheetData>
  <phoneticPr fontId="5" type="noConversion"/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2013-06-05T17:06:30Z</dcterms:modified>
</cp:coreProperties>
</file>